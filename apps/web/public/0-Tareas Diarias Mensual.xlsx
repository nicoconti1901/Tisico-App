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CONTI\OneDrive - INGENIERIA OBRAS Y SERVICIOS TISICO S.A\Escritorio\Tisico\Varios\Plataforma\"/>
    </mc:Choice>
  </mc:AlternateContent>
  <xr:revisionPtr revIDLastSave="0" documentId="13_ncr:1_{4D1C23B0-3312-4512-B842-92BCE34D7258}" xr6:coauthVersionLast="47" xr6:coauthVersionMax="47" xr10:uidLastSave="{00000000-0000-0000-0000-000000000000}"/>
  <bookViews>
    <workbookView xWindow="-108" yWindow="-108" windowWidth="23256" windowHeight="12456" firstSheet="3" activeTab="3" xr2:uid="{9E537DCB-4F73-4852-A20C-6C150F008466}"/>
  </bookViews>
  <sheets>
    <sheet name="Programa TIPCI" sheetId="1" state="hidden" r:id="rId1"/>
    <sheet name="G1 CRISTIAN JUNIO" sheetId="4" state="hidden" r:id="rId2"/>
    <sheet name="G2 GUILLE JUNIO" sheetId="3" state="hidden" r:id="rId3"/>
    <sheet name="Sector A" sheetId="6" r:id="rId4"/>
    <sheet name="Sector B" sheetId="8" r:id="rId5"/>
  </sheets>
  <definedNames>
    <definedName name="_xlnm._FilterDatabase" localSheetId="1" hidden="1">'G1 CRISTIAN JUNIO'!$A$2:$I$40</definedName>
    <definedName name="_xlnm._FilterDatabase" localSheetId="2" hidden="1">'G2 GUILLE JUNIO'!$A$2:$K$58</definedName>
    <definedName name="_xlnm._FilterDatabase" localSheetId="3" hidden="1">'Sector A'!$C$2:$J$23</definedName>
    <definedName name="_xlnm._FilterDatabase" localSheetId="4" hidden="1">'Sector B'!$C$2:$J$21</definedName>
    <definedName name="_xlnm.Print_Area" localSheetId="3">'Sector A'!$A$1:$P$24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6" l="1"/>
  <c r="G1" i="8"/>
</calcChain>
</file>

<file path=xl/sharedStrings.xml><?xml version="1.0" encoding="utf-8"?>
<sst xmlns="http://schemas.openxmlformats.org/spreadsheetml/2006/main" count="980" uniqueCount="475">
  <si>
    <t>Programación TIPCI</t>
  </si>
  <si>
    <t>Aviso</t>
  </si>
  <si>
    <t>OT</t>
  </si>
  <si>
    <t>Planta</t>
  </si>
  <si>
    <t>PAO</t>
  </si>
  <si>
    <t>ARO</t>
  </si>
  <si>
    <t>Miercoles  27/12/2023</t>
  </si>
  <si>
    <t>RYD (LOGOP)</t>
  </si>
  <si>
    <t>Preventivo Sistema Fire &amp; Gas-Subestación 1015 / 1020 -Detección de humo convencional - Detección por aspiración</t>
  </si>
  <si>
    <t>SAA</t>
  </si>
  <si>
    <t>Preventivo Sistema Fire &amp; Gas- 200/300/500/600/700/1300 Avisadores manuales Sistemas de diluvio</t>
  </si>
  <si>
    <t>PIB/MALEIC</t>
  </si>
  <si>
    <t>Jueves 28/12/2023</t>
  </si>
  <si>
    <t>Preventivo Sistema Fire &amp; Gas- CCR-Reactor /Productos químicos Detección de mezcla explosiva / H2 -Detección de llama y avisadores manuales</t>
  </si>
  <si>
    <t>Preventivo Sistema Fire &amp; Gas- 100/800/1100-Avisadores manuales-Sistemas de diluvio</t>
  </si>
  <si>
    <t>Viernes  29/12/2023</t>
  </si>
  <si>
    <t>Preventivo Sistema Fire &amp; Gas- Compresores V-901/902 Detección de H2, avisadores manuales, llama y diluvio</t>
  </si>
  <si>
    <t>Preventivo Sistema Fire &amp; Gas- S1000 Avisadores Manuales Logop</t>
  </si>
  <si>
    <t>Preventivo Sistema Fire &amp; Gas- Caldera Avisadores manuales</t>
  </si>
  <si>
    <t>Martes  02/01/2024</t>
  </si>
  <si>
    <t>Preventivo Sistema Fire &amp; Gas - Compresores V-901/902 Detección de H2, avisadores manuales, llama y diluvio</t>
  </si>
  <si>
    <t>Preventivo Sistema Fire &amp; Gas - Parque de tanques - Avisadores manuales</t>
  </si>
  <si>
    <t>Miércoles 03/01/2024</t>
  </si>
  <si>
    <t>Preventivo Sistema Fire &amp; Gas - CCR Condensador M-902 Enfriadores M-904 / 906 Detección de H2, llama y avisadores manuales y Sistemas Diluvio</t>
  </si>
  <si>
    <t>Preventivo Sistema Fire &amp; Gas - Subestación 1010/1011</t>
  </si>
  <si>
    <t>Preventivo Sistema Fire &amp; Gas - Subestación 1012/1017</t>
  </si>
  <si>
    <t>Jueves 04/01/2024</t>
  </si>
  <si>
    <t>Preventivo Sistema Fire &amp; Gas - Continuación correctivo Perdida de señal en de lazo (Subestación 1020 )</t>
  </si>
  <si>
    <t>Preventivo Sistema Fire &amp; Gas - Antorcha Aromáticos U-900 -Avisadores manuales y Sistemas de diluvio</t>
  </si>
  <si>
    <t>Permiso en frio MANUAL</t>
  </si>
  <si>
    <t>Preventivo Sistema Fire &amp; Gas - Almacen General - Deteccion de humo y avisadores manuales</t>
  </si>
  <si>
    <t>Viernes 05/01/2024</t>
  </si>
  <si>
    <t>Preventivo Sistema Fire &amp; Gas - Skid PSA /Compresores V-903 Deteccion de H2, llama, Av.Manuales y Sistemas de Diluvio</t>
  </si>
  <si>
    <t>Lunes 08/01/2024</t>
  </si>
  <si>
    <t>Preventivo Sistema Fire &amp; Gas - Mezcla explosiva, Deteccion de llama, av. manuales y diluvios en los Hornos L-901/L-902/ L-903</t>
  </si>
  <si>
    <t>Martes 09/01/2024</t>
  </si>
  <si>
    <t>Preventivo Sistema Fire &amp; Gas CCR en separadores/enfriadores, Deteccion de H2, llama, avisadores manuales y sistemas de diluvio</t>
  </si>
  <si>
    <t>Preventivo Sistema Fire &amp; Gas - Sala de bombas j-6700A/B - Deteccion de llama, térmicos y Av. Manuales.</t>
  </si>
  <si>
    <t>Miercoles 10/01/2024</t>
  </si>
  <si>
    <t>Preventivo Sistema Fire &amp; Gas - Deteccion de humo subestacion pib/maleic</t>
  </si>
  <si>
    <t>viernes 12/01/2024</t>
  </si>
  <si>
    <t>Preventivo Sistema Fire &amp; Gas - Deteccion de mezcla explosiva LPG</t>
  </si>
  <si>
    <t>Preventivo Sistema Fire &amp; Gas - Deteccion en sala de control</t>
  </si>
  <si>
    <t>Preventivo Sistema Fire &amp; Gas - CARGADERO U-2800 Diluvios</t>
  </si>
  <si>
    <t>Lunes 15/01/2024</t>
  </si>
  <si>
    <t>Preventivo Sistema Fire &amp; Gas - Avisadores manuales, Oxo alcoholes U-2500</t>
  </si>
  <si>
    <t>Preventivo Sistema Fire &amp; Gas -  Gas de síntesis: U-2400: Avisadores manuales, U-2600: Avisadores manuales, Detecion de llama, mezcla explosiva / H2</t>
  </si>
  <si>
    <t>Martes 16/01/2024</t>
  </si>
  <si>
    <t>Preventivo Sistema Fire &amp; Gas - Detección de humo y extinción por CO2 en sub estación 1014</t>
  </si>
  <si>
    <t>Miercoles 17/01/2024</t>
  </si>
  <si>
    <t>Preventivo Sistema Fire &amp; Gas - Detección de humo y extinción por Co2 - Sub estación 1019 / Usina</t>
  </si>
  <si>
    <t>Preventivo Sistema Fire &amp; Gas - Salas de paso 2040/41/42/43 Deteccion de humo, avisadores manuales.</t>
  </si>
  <si>
    <t>Jueves 18/01/2024</t>
  </si>
  <si>
    <t>Preventivo Sistema Fire &amp; Gas - Detección de mezcla explosiva LPG</t>
  </si>
  <si>
    <t>Preventivo Sistema Fire &amp; Gas - Buteno1  U-2200 Avisadores manuales, Sistemas de diluvio</t>
  </si>
  <si>
    <t>Preventivo Sistema Fire &amp; Gas - U-2100/3600 Sistemas diluvio y avisadores manuales.</t>
  </si>
  <si>
    <t>Viernes 19/01/2024</t>
  </si>
  <si>
    <t>Preventivo Sistema Fire &amp; Gas - Detección de mezcla explosiva LPG camino abierto / Diluvios</t>
  </si>
  <si>
    <t>Preventivo Sistema Fire &amp; Gas - Antorcha U-2900 Sistemas diluvio y Avisadores manuales</t>
  </si>
  <si>
    <t>Preventivo Sistema Fire &amp; Gas - Dimersiol U-2300 Sistemas de diluvio y avisadores manuales.</t>
  </si>
  <si>
    <t>Lunes 22/01/2024</t>
  </si>
  <si>
    <t>Preventivo Sistema Fire &amp; Gas - Detección Mezcla explosiva y diluvios S-1100</t>
  </si>
  <si>
    <t>Preventivo Sistema Fire &amp; Gas - U-2000 Avisadores Manuales. U-2700 off- site Sistemas de diluvio y Av. Manuales.</t>
  </si>
  <si>
    <t>Preventivo Sistema Fire &amp; Gas - Pilera API avisadores Manuales, deteccion de mezcla explosiva</t>
  </si>
  <si>
    <t>Martes 30/01/2024</t>
  </si>
  <si>
    <t>Preventivo Sistema Fire &amp; Gas - Skid PSA /Compresores V-903 - Detección de H2, llama, avisadores manuales y sistema de diluvio.</t>
  </si>
  <si>
    <t>Preventivo Sistema Fire &amp; Gas -Sala de control B-1009 -Avisadores manuales y detección de humo</t>
  </si>
  <si>
    <t>Preventivo Sistema Fire &amp; Gas -Avisadores manualesy sistemas de diluvio en 200/300/500/600/700/1300</t>
  </si>
  <si>
    <t>Miércoles 31/01/2024</t>
  </si>
  <si>
    <t>Preventivo Sistema Fire &amp; Gas- 100/800-Avisadores manuales-Sistemas de diluvio</t>
  </si>
  <si>
    <t>Preventivo Sistema Fire &amp; Gas - S1100 -Avisadores manuales-Sistemas de diluvio</t>
  </si>
  <si>
    <t>Jueves 01/02/24</t>
  </si>
  <si>
    <t>viernes 02/02/24</t>
  </si>
  <si>
    <t>Lunes 05/02/24</t>
  </si>
  <si>
    <t>Pib maleic no intrusivo</t>
  </si>
  <si>
    <t>Preventivo Sistema Fire &amp; Gas - Deteccion de humo en sala de control / archivo</t>
  </si>
  <si>
    <t>Martes 06/02/24</t>
  </si>
  <si>
    <t>Preventivo Sistema Fire &amp; Gas - Avisadores Manuales, deteccion de llama y gases H2 U-2600</t>
  </si>
  <si>
    <t>Miercoles 07/02/24</t>
  </si>
  <si>
    <t>Preventivo Sistema Fire &amp; Gas - Deteccion de mezcla explosiva/Nh3 polibuteno Maleic</t>
  </si>
  <si>
    <t>Preventivo Sistema Fire &amp; Gas - Avisadores manuales, Deteccion de humo Salas de paso 2040/41/42/43</t>
  </si>
  <si>
    <t>jueves 08/02/24</t>
  </si>
  <si>
    <t>Preventivo Sistema Fire &amp; Gas - Avisadores manuales, Sistemas de diluvio U-2100/3600</t>
  </si>
  <si>
    <t>viernes 09/02/24</t>
  </si>
  <si>
    <t>Preventivo Sistema Fire &amp; Gas - Avisadores manuales, Sistemas de diluvio Antorcha U-2900</t>
  </si>
  <si>
    <t>Preventivo Sistema Fire &amp; Gas - Avisadores manuales, Sistemas de diluvio Dimersol U-2300</t>
  </si>
  <si>
    <t>Miercoles 14/02/24</t>
  </si>
  <si>
    <t>Jueves 15/02/24</t>
  </si>
  <si>
    <t>Viernes 16/02/24</t>
  </si>
  <si>
    <t>Lunes 19/02/24</t>
  </si>
  <si>
    <t>Preventivo Sistema Fire &amp; Gas - Detección Mezcla explosiva S-1100 y diluvios</t>
  </si>
  <si>
    <t>Preventivo Sistema Fire &amp; Gas - Detección Mezcla explosiva S-2200</t>
  </si>
  <si>
    <t>Jueves 22/02</t>
  </si>
  <si>
    <t>Deteccion de NH3 en zona tanques/diluvios en S-2000</t>
  </si>
  <si>
    <t>Deteccion de CO en S-2400</t>
  </si>
  <si>
    <t>Viernes 23/02</t>
  </si>
  <si>
    <t>Lunes 26/02/24</t>
  </si>
  <si>
    <t>Martes 27/02/24</t>
  </si>
  <si>
    <t>Preventivo Sistema Fire &amp; Gas- Sub estación B-2030</t>
  </si>
  <si>
    <t>Preventivo Sistema Fire &amp; Gas- Sub estación B-2031</t>
  </si>
  <si>
    <t>Miercoles 28/02/24</t>
  </si>
  <si>
    <t>Preventivo Sistema Fire &amp; Gas - Avisadores Manuales, Sistemas de diluvio en LPG</t>
  </si>
  <si>
    <t>Preventivo Sistema Fire &amp; Gas - Sistemas de diluvio Maleico-Polibuteno</t>
  </si>
  <si>
    <t>Jueves 29/02/24</t>
  </si>
  <si>
    <t>Lunes 04/03/24</t>
  </si>
  <si>
    <t>Preventivo Sistema Fire &amp; Gas- 100/800 -Avisadores manuales-Sistemas de diluvio</t>
  </si>
  <si>
    <t>Preventivo Sistema Fire &amp; Gas- 1100 -Avisadores manuales-Sistemas de diluvio</t>
  </si>
  <si>
    <t>viernes 08/03</t>
  </si>
  <si>
    <t>lunes 11/03</t>
  </si>
  <si>
    <t>Preventivo Sistema Fire &amp; Gas - Antorcha Aromáticos -Avisadores manuales y Sistemas de diluvio</t>
  </si>
  <si>
    <t>Preventivo Sistema Fire &amp; Gas - Almacenen general -Deteccion de humo, Avisadores manuales</t>
  </si>
  <si>
    <t>Martes 12/03</t>
  </si>
  <si>
    <t>Miercoles 13/03</t>
  </si>
  <si>
    <t>Preventivo Sistema Fire &amp; Gas-Subestación 1015 -Detección de humo convencional y por aspiración.</t>
  </si>
  <si>
    <t>Jueves 14/03</t>
  </si>
  <si>
    <t>Preventivo Sistema Fire &amp; Gas-Subestación 1015 -Sistema de diluvio, deteccion térmica, mezcla explosiva y Av. Manuales</t>
  </si>
  <si>
    <t>Viernes 15/03</t>
  </si>
  <si>
    <t>Lunes 18/03</t>
  </si>
  <si>
    <t>Preventivo Sistema Fire &amp; Gas - Deteccion de mezcla explosiva LPG camino abierto / Diluvios</t>
  </si>
  <si>
    <t>Martes 19/03</t>
  </si>
  <si>
    <t>Miercoles 20/03</t>
  </si>
  <si>
    <t>Preventivo Sistema Fire &amp; Gas- CCR -Monitores telecomandados</t>
  </si>
  <si>
    <t>Lunes 25/03</t>
  </si>
  <si>
    <t>Martes 26/03</t>
  </si>
  <si>
    <t>Preventivo Sistema Fire &amp; Gas - Válvulas L.B / Drenajes- Deteccion de H2, deteccion de llama, av. manuales y diluvios</t>
  </si>
  <si>
    <t>Miercoles 27/03</t>
  </si>
  <si>
    <t>miercoles 03/04</t>
  </si>
  <si>
    <t>Jueves 04/04</t>
  </si>
  <si>
    <t>Preventivo Sistema Fire &amp; Gas- Sub estacion 192 Avisadores manuales, Sistemas diluvio, Deteccion de mezcla explosiva /H2, Deteccion de incendio/aspiracion</t>
  </si>
  <si>
    <t>Viernes 05/04</t>
  </si>
  <si>
    <t>Preventivo Sistema Fire &amp; Gas- Sistema de diluvio, Avisadores manuales LPG (ARO-PAO-CARGADERO)</t>
  </si>
  <si>
    <t>no intrusivo</t>
  </si>
  <si>
    <t>Preventivo Sistema Fire &amp; Gas- Sistema de diluvio Maleico-Polibuteno</t>
  </si>
  <si>
    <t>Lunes 08/04</t>
  </si>
  <si>
    <t>Martes 09/04</t>
  </si>
  <si>
    <t>Miercoles 10/04</t>
  </si>
  <si>
    <t>Jueves 11/04</t>
  </si>
  <si>
    <t>Viernes 12/04</t>
  </si>
  <si>
    <t>Lunes 15/04</t>
  </si>
  <si>
    <t>Preventivo Sistema Fire &amp; Gas -Avisadores manuales y Sistemas de diluvio - Antorcha Aromáticos</t>
  </si>
  <si>
    <t>Martes 16/04</t>
  </si>
  <si>
    <t>Miercoles 17/04</t>
  </si>
  <si>
    <t>Jueves 18/04</t>
  </si>
  <si>
    <t>Viernes 19/04</t>
  </si>
  <si>
    <t>Lunes 22/04</t>
  </si>
  <si>
    <t>Martes 23/04</t>
  </si>
  <si>
    <t>Reparar falla en detector de mezcla Explosiva AT-2008</t>
  </si>
  <si>
    <t xml:space="preserve">Reparar falla en detectores de mezcla Explosiva AT-1117 y AT-1122 </t>
  </si>
  <si>
    <t>ARRANCA EL MES DE GUILLE</t>
  </si>
  <si>
    <t>Miercoles 24/04</t>
  </si>
  <si>
    <t>CRIS</t>
  </si>
  <si>
    <t>GUILLE</t>
  </si>
  <si>
    <t>Tarea no intrusiva</t>
  </si>
  <si>
    <t>Lunes 29/04</t>
  </si>
  <si>
    <t>Martes 30/04</t>
  </si>
  <si>
    <t>Preventivo Sistema Fire &amp; Gas - Deteccion en sala de control (continuan tareas)</t>
  </si>
  <si>
    <t>Preventivo Sistema Fire &amp; Gas - CARGADERO U-2800 Diluvios (continuan tareas)</t>
  </si>
  <si>
    <t>Viernes 03/05</t>
  </si>
  <si>
    <t>Lunes 06/05</t>
  </si>
  <si>
    <t>Preventivo Sistema Fire &amp; Gas - Deteccion de mezcla explosiva Maleico</t>
  </si>
  <si>
    <t>Martes 07/05</t>
  </si>
  <si>
    <t>Miercoles 08/05</t>
  </si>
  <si>
    <t>Viernes 10/5</t>
  </si>
  <si>
    <t>miercoles 15/05</t>
  </si>
  <si>
    <t>Jueves 15/05</t>
  </si>
  <si>
    <t>Viernes 16/05</t>
  </si>
  <si>
    <t>Lunes 19/05</t>
  </si>
  <si>
    <t>Jueves 23/05</t>
  </si>
  <si>
    <t>Viernes 24/5</t>
  </si>
  <si>
    <t>Lunes 27/5</t>
  </si>
  <si>
    <t>listo</t>
  </si>
  <si>
    <t>revisar camino abierto 1100 at-1135</t>
  </si>
  <si>
    <t>Martes 28/5</t>
  </si>
  <si>
    <t>Miercoles 29/5</t>
  </si>
  <si>
    <t>Alinear barrera laser AT-1135 en S-1100</t>
  </si>
  <si>
    <t>jueves 30/5</t>
  </si>
  <si>
    <t>Preventivo Sistema Fire &amp; Gas - Antorcha Aromáticos -Avisadores manuales y Sistemas de diluvio (continuan trabajos)</t>
  </si>
  <si>
    <t>Rehubicar y reconectar cable de lazo en calle 1 esquina 15</t>
  </si>
  <si>
    <t>Viernes 31/5</t>
  </si>
  <si>
    <t>ptni</t>
  </si>
  <si>
    <t>Preventivo Sistema Fire &amp; Gas - Departamento Seguridad/Bomberos</t>
  </si>
  <si>
    <t>Preventivo Sistema Fire &amp; Gas -  Anfiteatro-administracion-Oficina ecom</t>
  </si>
  <si>
    <t>Lunes 03/6</t>
  </si>
  <si>
    <t>Preventivo Sistema Fire &amp; Gas - Verificacion de equipos- oficina/Archivo 1er piso</t>
  </si>
  <si>
    <t>Martes 04/6</t>
  </si>
  <si>
    <t>Monitores Telecomandados CCR</t>
  </si>
  <si>
    <t>Sistema de diluvio</t>
  </si>
  <si>
    <t>Detección de llama</t>
  </si>
  <si>
    <t>Avisadores Manuales</t>
  </si>
  <si>
    <t>Avisadores Manuales/Detectores termicos</t>
  </si>
  <si>
    <t>Pastilladora (MALEIC)</t>
  </si>
  <si>
    <t>-</t>
  </si>
  <si>
    <t>Detección de Humo</t>
  </si>
  <si>
    <t>Almacén General</t>
  </si>
  <si>
    <t>Subestación 1012/1017</t>
  </si>
  <si>
    <t>Calderas</t>
  </si>
  <si>
    <t>Deteccion de humo</t>
  </si>
  <si>
    <t>LPG (ARO-PAO-CARGADERO)</t>
  </si>
  <si>
    <t>Av. Manuales, Deteccion de humo, termicos, Mezcla explosiva H2 sala de baterías</t>
  </si>
  <si>
    <t>Deteccion de incendio/aspiración</t>
  </si>
  <si>
    <t>Deteccion de mezcla explisiva / H2</t>
  </si>
  <si>
    <t>Deteccion Mezcla Explosiva</t>
  </si>
  <si>
    <t>Pileta API</t>
  </si>
  <si>
    <t>U-2700 OFF - SITE</t>
  </si>
  <si>
    <t>U-2000</t>
  </si>
  <si>
    <t>Dimersol U-2300</t>
  </si>
  <si>
    <t>Antorcha U-2900</t>
  </si>
  <si>
    <t>Salas de paso 2040/41/42/43</t>
  </si>
  <si>
    <t>Deteccion Mezcla Explosiva / H2</t>
  </si>
  <si>
    <t>Avisadores Manuales/ llama</t>
  </si>
  <si>
    <t>U-2600</t>
  </si>
  <si>
    <t>Oxo alcoholes U-2500</t>
  </si>
  <si>
    <t>Cargadero U-2800 Diluvio</t>
  </si>
  <si>
    <t>Duración</t>
  </si>
  <si>
    <t>Tipo de permiso</t>
  </si>
  <si>
    <t>Nombre de tarea</t>
  </si>
  <si>
    <t>GRUPO DE TRABAJO 2 (Guille)</t>
  </si>
  <si>
    <t>GRUPO DE TRABAJO 1 (Cristian)</t>
  </si>
  <si>
    <t>POLIBUTENO/MALEICO</t>
  </si>
  <si>
    <t>electronico saa</t>
  </si>
  <si>
    <t>Deteccion de mezcla explosiva Maleico</t>
  </si>
  <si>
    <t>Deteccion de mezcla explosiva/Nh3 Polibuteno</t>
  </si>
  <si>
    <t>Detección de humo convencional</t>
  </si>
  <si>
    <t>Detección por aspiración / extinción por Co2</t>
  </si>
  <si>
    <t>Subestación 1019 / Usina</t>
  </si>
  <si>
    <t>LPG</t>
  </si>
  <si>
    <t>Mezcla explosiva LPG</t>
  </si>
  <si>
    <t>Mezcla explosiva LPG camino abierto /Diluvios</t>
  </si>
  <si>
    <t>Mezcla explosiva S - 1100 /Diluvios</t>
  </si>
  <si>
    <t>S-2200 PAO</t>
  </si>
  <si>
    <t>Mezcla explosiva S - 2200</t>
  </si>
  <si>
    <t>electronico pao</t>
  </si>
  <si>
    <t>S-2000 PAO</t>
  </si>
  <si>
    <t>Detección de NH3 Zona Tanque /Diluvios</t>
  </si>
  <si>
    <t>Detección de CO S - 2400</t>
  </si>
  <si>
    <t>Subestación 1015</t>
  </si>
  <si>
    <t>Detección por aspiración</t>
  </si>
  <si>
    <t>Sistemas de Diluvio/ Detectores termicos</t>
  </si>
  <si>
    <t>Subestación 1020</t>
  </si>
  <si>
    <t>CCR-Reactor / Productos químicos</t>
  </si>
  <si>
    <t>Detección de mezcla explosiva / H2</t>
  </si>
  <si>
    <t>Detección de llama y avisadores manuales</t>
  </si>
  <si>
    <t>Detección de H2</t>
  </si>
  <si>
    <t>Sistemas Diluvio</t>
  </si>
  <si>
    <t>Deteccion de llama/Av.Manuales</t>
  </si>
  <si>
    <t>Sistemas de Diluvio</t>
  </si>
  <si>
    <t>Condensador M-902 Enfriadores M-904 / 906</t>
  </si>
  <si>
    <t>Hornos L-901/902/903</t>
  </si>
  <si>
    <t>Mezcla Explosiva</t>
  </si>
  <si>
    <t>Sistemas de Dilivio</t>
  </si>
  <si>
    <t>Separadores / Enfriadores</t>
  </si>
  <si>
    <t>Deteccion de Llama / Av.Manual</t>
  </si>
  <si>
    <t>Mezcla explosiva / Avisadores manuales</t>
  </si>
  <si>
    <t>Subestación 1014</t>
  </si>
  <si>
    <t>Compresores V-901 / 902</t>
  </si>
  <si>
    <t>Válvulas L.B / Drenajes</t>
  </si>
  <si>
    <t>Skid PSA / Compresores V-903</t>
  </si>
  <si>
    <t>Gas SÍntesis U-2400</t>
  </si>
  <si>
    <t>Buteno 1 U-2200</t>
  </si>
  <si>
    <t>U-2100 / 3600</t>
  </si>
  <si>
    <t>Subestacón 192</t>
  </si>
  <si>
    <t>Subestación B- 2030</t>
  </si>
  <si>
    <t>Subestación B- 2031</t>
  </si>
  <si>
    <t>Antorcha Aromáticos</t>
  </si>
  <si>
    <t>Departamento seguridad / bomberos</t>
  </si>
  <si>
    <t>Anfiteatro /Administración / Oficina ECOM</t>
  </si>
  <si>
    <t>Verificación de equipos / Oficina / Archivos 1º piso</t>
  </si>
  <si>
    <t>Sala de bombas J-6700 A/B</t>
  </si>
  <si>
    <t>Electrónico Aromático</t>
  </si>
  <si>
    <t>Electrónico PAO</t>
  </si>
  <si>
    <t>Electrónico SAA</t>
  </si>
  <si>
    <t>PTF MANUAL</t>
  </si>
  <si>
    <t>Detección de humo subestaciones</t>
  </si>
  <si>
    <t>Detección de humo sala de control/archivo</t>
  </si>
  <si>
    <t>Detección Sala de control PAO</t>
  </si>
  <si>
    <t>S-1100 ARO</t>
  </si>
  <si>
    <t>S-2400 PAO</t>
  </si>
  <si>
    <t>electronico PAO</t>
  </si>
  <si>
    <t xml:space="preserve">electronico ARO </t>
  </si>
  <si>
    <t>electronico ARO</t>
  </si>
  <si>
    <t>PTNI - LOGOP</t>
  </si>
  <si>
    <t>PTNI LOGOP</t>
  </si>
  <si>
    <t>MALEICO</t>
  </si>
  <si>
    <t>POLIBUTENO</t>
  </si>
  <si>
    <t>PTNI MALEI</t>
  </si>
  <si>
    <t>PTNI POLIB</t>
  </si>
  <si>
    <t>Sala de control ARO / B-1009</t>
  </si>
  <si>
    <t>Parque de tanques ARO</t>
  </si>
  <si>
    <t>Subestación 1010</t>
  </si>
  <si>
    <t>Avisadores Manuales - det humo</t>
  </si>
  <si>
    <t>PTF MANUAL ALMACENES</t>
  </si>
  <si>
    <t>ALMACENES Depósito Nº3</t>
  </si>
  <si>
    <t>Parque de tanques PAO</t>
  </si>
  <si>
    <t>junio</t>
  </si>
  <si>
    <t>julio</t>
  </si>
  <si>
    <t>PTNI - PIB MALEIC</t>
  </si>
  <si>
    <t>PTNI PIB - MALEIC</t>
  </si>
  <si>
    <t>agosto</t>
  </si>
  <si>
    <t>sept</t>
  </si>
  <si>
    <t>Prvo Sist Fire &amp; Gas- Sistema de diluvio, Avisadores manuales LPG (ARO-PAO-CARGADERO)</t>
  </si>
  <si>
    <t>PTNI MALEIC</t>
  </si>
  <si>
    <t>PTNI POLIBUT</t>
  </si>
  <si>
    <t>Prvo Sist Fire &amp; Gas- Sistema de diluvio, Avisadores manuales MALEIC</t>
  </si>
  <si>
    <t>Prvo Sist Fire &amp; Gas- Sistema de diluvio, Avisadores manuales POLIB</t>
  </si>
  <si>
    <t>Pvo Sist Fire &amp; Gas - Detección Mezcla explosiva S-1100 y diluvios</t>
  </si>
  <si>
    <t>Prvo Sist Fire &amp; Gas - Detección Mezcla explosiva S-2200</t>
  </si>
  <si>
    <t>Prvo Sist Fire &amp; Gas-SE 1015 -Detección de humo convencional y por aspiración.</t>
  </si>
  <si>
    <t>Prvo Sist Fire &amp; Gas-SE 1015 -Sist de diluvio, deteccion térmica, mezcla explosiva y Av. Manuales</t>
  </si>
  <si>
    <t>Prvo Sist Fire &amp; Gas-SE 1020 -Detección de humo convencional - Detección por aspiración</t>
  </si>
  <si>
    <t>Prvo Sist Fire &amp; Gas -Sala de control B-1009 -Avisadores manuales y detección de humo</t>
  </si>
  <si>
    <t>Prvo Sist Fire &amp; Gas- 200/300/500/600/700/1300 Avisadores manuales Sistemas de diluvio</t>
  </si>
  <si>
    <t>Prvo Sist Fire &amp; Gas- 100/800-Avisadores manuales-Sistemas de diluvio</t>
  </si>
  <si>
    <t>Prvo Sist Fire &amp; Gas-1100-Avisadores manuales-Sistemas de diluvio</t>
  </si>
  <si>
    <t>Pvo Sist Fire &amp; Gas- CCR-Reactor /Ptos químicos Detección de mezcla explosiva / H2 -Detección de llama y avisadores manuales</t>
  </si>
  <si>
    <t>Pvo Sist Fire &amp; Gas- S1000 Avisadores Manuales Logop</t>
  </si>
  <si>
    <t>Pvo Sist Fire &amp; Gas- Parque de Tks.  Avisadores Manuales ARO</t>
  </si>
  <si>
    <t>Pvo Sist Fire &amp; Gas- Comp V-901/902 Detecc de H2, av manuales, llama y diluvio</t>
  </si>
  <si>
    <t>Pvo Sist Fire &amp; Gas - Válvulas L.B / Drenajes- Det  H2, deteccion de llama, av. manuales y diluvios. ARO</t>
  </si>
  <si>
    <t>Pvo Sist Fire &amp; Gas - CCR Cond M-902 Enfr M-904 / 906 Det  H2, llama y av.  manuales y Sistemas Diluvio</t>
  </si>
  <si>
    <t>Pvo Sist Fire &amp; Gas - Subestación 1010</t>
  </si>
  <si>
    <t>Pvo Sist Fire &amp; Gas - Subestación 1012/1017</t>
  </si>
  <si>
    <t>sin pt</t>
  </si>
  <si>
    <t>Pvo Sist Fire &amp; Gas - Skid PSA /Comp V-903 Deteccion de H2, llama, Av.Manuales y Sist Diluvio</t>
  </si>
  <si>
    <t>Pvo Sist Fire &amp; Gas - Almacen General - Deteccion de humo y avisadores manuales</t>
  </si>
  <si>
    <t>Pvo Sist Fire &amp; Gas - Antorcha Aromáticos -Avisadores manuales y Sist de diluvio</t>
  </si>
  <si>
    <t>Prvo Sist Fire &amp; Gas - Mezcla explosiva, Deteccion de llama, av. manuales y diluvios en los Hornos L-901/L-902/ L-903</t>
  </si>
  <si>
    <t>Pvo Sist Fire &amp; Gas CCR en separadores/enfriadores, Deteccion de H2, llama, avisadores manuales y sistemas de diluvio</t>
  </si>
  <si>
    <t>SIN PERMISO</t>
  </si>
  <si>
    <t>Pvo Sist Fire &amp; Gas - Departamento Seguridad/Bomberos</t>
  </si>
  <si>
    <t>Prvo Sist Fire &amp; Gas -  Anfiteatro-administracion-Oficina ecom</t>
  </si>
  <si>
    <r>
      <t xml:space="preserve">Avisadores Manuales y </t>
    </r>
    <r>
      <rPr>
        <sz val="12"/>
        <color rgb="FFFF0000"/>
        <rFont val="Calibri"/>
        <family val="2"/>
        <scheme val="minor"/>
      </rPr>
      <t>monit telecom</t>
    </r>
  </si>
  <si>
    <r>
      <t>200/300/500/600/700/</t>
    </r>
    <r>
      <rPr>
        <b/>
        <sz val="12"/>
        <color theme="1"/>
        <rFont val="Calibri"/>
        <family val="2"/>
        <scheme val="minor"/>
      </rPr>
      <t>1300</t>
    </r>
  </si>
  <si>
    <r>
      <rPr>
        <b/>
        <sz val="12"/>
        <color theme="1"/>
        <rFont val="Calibri"/>
        <family val="2"/>
        <scheme val="minor"/>
      </rPr>
      <t>100</t>
    </r>
    <r>
      <rPr>
        <sz val="12"/>
        <color theme="1"/>
        <rFont val="Calibri"/>
        <family val="2"/>
        <scheme val="minor"/>
      </rPr>
      <t>/400/</t>
    </r>
    <r>
      <rPr>
        <b/>
        <sz val="12"/>
        <color theme="1"/>
        <rFont val="Calibri"/>
        <family val="2"/>
        <scheme val="minor"/>
      </rPr>
      <t>800</t>
    </r>
  </si>
  <si>
    <t>Prvo Sist Fire &amp; Gas - Verificacion de equipos- oficina/Archivo 1er piso</t>
  </si>
  <si>
    <t>PTNI</t>
  </si>
  <si>
    <t>Prvo Sist Fire &amp; Gas - Pastilladora</t>
  </si>
  <si>
    <t>Prvo Sist Fire &amp; Gas - Sala de bombas j-6700A/B - Deteccion de llama, térmicos y Av. Manuales.</t>
  </si>
  <si>
    <t>Prvo Sist Fire &amp; Gas - Almacen General - Deteccion de humo y avisadores manuales</t>
  </si>
  <si>
    <t>Prvo Sist Fire &amp; Gas- CCR -Monitores telecomandados</t>
  </si>
  <si>
    <t>Prvo Sist Fire &amp; Gas - Skid PSA /Comp V-903 Deteccion de H2, llama, Av.Manuales y Sist Diluvio</t>
  </si>
  <si>
    <t>hs</t>
  </si>
  <si>
    <r>
      <t>Prvo Sist Fire &amp; Gas - SE 1014. Detección de humo convencional, aspiración, sistema extinción x CO</t>
    </r>
    <r>
      <rPr>
        <vertAlign val="subscript"/>
        <sz val="11"/>
        <color theme="1"/>
        <rFont val="Calibri"/>
        <family val="2"/>
        <scheme val="minor"/>
      </rPr>
      <t>2</t>
    </r>
  </si>
  <si>
    <r>
      <t>Prvo Sist Fire &amp; Gas - SE 1019 / Usina. Detección de humo convencional, aspiración, sistema extinción x CO</t>
    </r>
    <r>
      <rPr>
        <vertAlign val="subscript"/>
        <sz val="11"/>
        <color theme="1"/>
        <rFont val="Calibri"/>
        <family val="2"/>
        <scheme val="minor"/>
      </rPr>
      <t>2</t>
    </r>
  </si>
  <si>
    <r>
      <t>Prvo Sist Fire &amp; Gas - Comp V-901/902. Detecc de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avisadores manuales, llama y diluvio</t>
    </r>
  </si>
  <si>
    <t>sep</t>
  </si>
  <si>
    <t>jun</t>
  </si>
  <si>
    <t>jul</t>
  </si>
  <si>
    <t>ago</t>
  </si>
  <si>
    <t>oct</t>
  </si>
  <si>
    <t>nov</t>
  </si>
  <si>
    <t>dic</t>
  </si>
  <si>
    <t>Prvo Sist Fire &amp; Gas - PAO. Detección sala control</t>
  </si>
  <si>
    <t>Prvo Sist Fire &amp; Gas - Cargadero U-2800. Sistema diluvio</t>
  </si>
  <si>
    <t>Prvo Sist Fire &amp; Gas - U-2500. Avisadores manuales</t>
  </si>
  <si>
    <t>Prvo Sist Fire &amp; Gas - Salas de paso 2040/41/42/43.Deteccion de humo, avisadores manuales</t>
  </si>
  <si>
    <t>Prvo Sist Fire &amp; Gas - U-2200. Avisadores manuales, sistema diluvio</t>
  </si>
  <si>
    <t>Prvo Sist Fire &amp; Gas - U-2100/3600. Avisadores manuales, sistema diluvio</t>
  </si>
  <si>
    <t>Prvo Sist Fire &amp; Gas - U-2300. Avisadores manuales, sistema diluvio</t>
  </si>
  <si>
    <t>Prvo Sist Fire &amp; Gas - Pileta API. Avisadores manuales, detección de llama, mezcla explosiva</t>
  </si>
  <si>
    <r>
      <t>Prvo Sist Fire &amp; Gas - SE 2030. Av. Manuales, detección de humo, térmicos, mezcla explosiva,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sala de baterías</t>
    </r>
  </si>
  <si>
    <r>
      <t>Prvo Sist Fire &amp; Gas - SE 192. Av. manuales, sistemas diluvio, detección mezcla explosiva,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detección de incendio/aspiración</t>
    </r>
  </si>
  <si>
    <t xml:space="preserve">Prvo Sist Fire &amp; Gas - LPG (ARO-PAO-CARGADERO). Sistema de diluvio, avisadores manuales </t>
  </si>
  <si>
    <r>
      <t>Prvo Sist Fire &amp; Gas - SE 2031. Av. Manuales, detección de humo, térmicos, mezcla explosiva,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sala de baterías</t>
    </r>
  </si>
  <si>
    <t>Prvo Sist Fire &amp; Gas - B-1009. Av. Manuales, detección de humo,</t>
  </si>
  <si>
    <t>Prvo Sist Fire &amp; Gas - U-100/400/800. Av. manuales, sistema diluvio</t>
  </si>
  <si>
    <t>Prvo Sist Fire &amp; Gas - U-1100. Av. manuales, sistema diluvio</t>
  </si>
  <si>
    <t>Prvo Sist Fire &amp; Gas - U-1000. Avisadores manuales</t>
  </si>
  <si>
    <t>Prvo Sist Fire &amp; Gas - Calderas. Avisadores manuales</t>
  </si>
  <si>
    <t>Prvo Sist Fire &amp; Gas - Almacenes. Detección de humo y av manuales</t>
  </si>
  <si>
    <t>Prvo Sist Fire &amp; Gas - ARO Antorcha. Av. manuales, sistema diluvio</t>
  </si>
  <si>
    <t>Almacenes</t>
  </si>
  <si>
    <t>Prvo Sist Fire &amp; Gas - Alma Depo N°3. Av manuales, detección de llama, sistema diluvio</t>
  </si>
  <si>
    <t>Prvo Sist Fire &amp; Gas - CCR Monitores telecomandados</t>
  </si>
  <si>
    <t>sin permiso</t>
  </si>
  <si>
    <t>PTNI Maleico/Poli</t>
  </si>
  <si>
    <t>17-18</t>
  </si>
  <si>
    <t xml:space="preserve"> 18/10</t>
  </si>
  <si>
    <t xml:space="preserve"> 15/10</t>
  </si>
  <si>
    <r>
      <t xml:space="preserve"> </t>
    </r>
    <r>
      <rPr>
        <sz val="8"/>
        <rFont val="Calibri"/>
        <family val="2"/>
        <scheme val="minor"/>
      </rPr>
      <t>16/10</t>
    </r>
  </si>
  <si>
    <t>Equipo</t>
  </si>
  <si>
    <t>Empresa</t>
  </si>
  <si>
    <t>TISICO FIRE&amp;GAS</t>
  </si>
  <si>
    <t>Texto breve</t>
  </si>
  <si>
    <t>EQP</t>
  </si>
  <si>
    <t>EQP / NFS 320 /3030</t>
  </si>
  <si>
    <t>VESDA /3030</t>
  </si>
  <si>
    <t>Prvo Sist Fire &amp; Gas - SE 1012/17. Detección de humo y av manuales</t>
  </si>
  <si>
    <t>Prvo Sist Fire &amp; Gas - SE 1010/11. Detección de humo y av manuales</t>
  </si>
  <si>
    <t>CDTI/3030</t>
  </si>
  <si>
    <t>NOTF320/EQP</t>
  </si>
  <si>
    <t>SP2042/EQP</t>
  </si>
  <si>
    <t>ene</t>
  </si>
  <si>
    <t>2/12/2024 y 30/12</t>
  </si>
  <si>
    <t>feb</t>
  </si>
  <si>
    <t>Prvo Sist Fire &amp; Gas - U-100. Detección de mezcla explosiva H2,  H2S, sistemas diluvios,Deteccion de Llama.</t>
  </si>
  <si>
    <t>Area Mantenimiento</t>
  </si>
  <si>
    <t>Prvo Sist Fire &amp; Gas - Depto. Seguridad. Detección incendios</t>
  </si>
  <si>
    <t>Prvo Sist Fire &amp; Gas - U-2900.Antorcha. Avisadores manuales, sistema diluvio</t>
  </si>
  <si>
    <t xml:space="preserve">LPG </t>
  </si>
  <si>
    <t xml:space="preserve">ARO </t>
  </si>
  <si>
    <t>Almacenes- Depo N°3</t>
  </si>
  <si>
    <t>TFT</t>
  </si>
  <si>
    <t>CDTI/3030/EQP</t>
  </si>
  <si>
    <t>Prvo Sist Fire &amp; Gas - U-200/300/500/600/700/1300. Av. Manuales.Sistema de diluvio.</t>
  </si>
  <si>
    <t>3030/EQP</t>
  </si>
  <si>
    <t>Prvo Sist Fire &amp; Gas - Anfiteatro/Administración/Ofic.ECOM. Detección incendios</t>
  </si>
  <si>
    <t>Prvo Sist Fire &amp; Gas - Verif Eq-Ofic/archivo 1er piso.Dpto Bomberos. Detección incendios.Av.manuales.</t>
  </si>
  <si>
    <t>Prvo Sist Fire &amp; Gas - Sala Bbas J6700 A/B. Av manuales, detección de llama,Detec.termicos</t>
  </si>
  <si>
    <t>DCS</t>
  </si>
  <si>
    <t>Prvo Sist Fire &amp; Gas - Sala Ctrol  POLIB / Archivo Tecnico. Detección humo</t>
  </si>
  <si>
    <t>CCR</t>
  </si>
  <si>
    <t>POLIB</t>
  </si>
  <si>
    <t>POLIB / MALEIC</t>
  </si>
  <si>
    <t>Prvo Sist Fire &amp; Gas - S-1100. Detección mezcla explosiva, pantalla diluvio</t>
  </si>
  <si>
    <t>Prvo Sist Fire &amp; Gas - SUBESTACIONES. Detección humo/Aspiracion</t>
  </si>
  <si>
    <t>Prvo Sist Fire &amp; Gas - Maleic- Detección de mezcla explosiva.Polibuteno- Detección de mezcla explosiva / Nh3</t>
  </si>
  <si>
    <t>Prvo Sist Fire &amp; Gas - LPG. Detección de mezcla explosiva camino abierto, Pantallas diluvios</t>
  </si>
  <si>
    <t xml:space="preserve">Prvo Sist Fire &amp; Gas -U-1700/1800. Detección de llama y avisadores manuales </t>
  </si>
  <si>
    <r>
      <t>Prvo Sist Fire &amp; Gas -U-1700/1800. Detección de mezcla explosiva, 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S, sistemas diluvios</t>
    </r>
  </si>
  <si>
    <r>
      <t>Prvo Sist Fire &amp; Gas -U-1700/1800. Detección de H</t>
    </r>
    <r>
      <rPr>
        <vertAlign val="subscript"/>
        <sz val="11"/>
        <color theme="1"/>
        <rFont val="Calibri"/>
        <family val="2"/>
        <scheme val="minor"/>
      </rPr>
      <t>2</t>
    </r>
  </si>
  <si>
    <r>
      <t>Prvo Sist Fire &amp; Gas -Válvulas L.B / Drenajes. Detección 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deteccion de llama, avisadores manuales y sistemas diluvios. </t>
    </r>
  </si>
  <si>
    <t xml:space="preserve">Prvo Sist Fire &amp; Gas -Hornos L-901/L-902/ L-903. Mezcla explosiva, deteccion de llama, avisadores manuales,Sist diluvios . </t>
  </si>
  <si>
    <r>
      <t>Pvo Sist Fire &amp; Gas - Separadores/enfriadores, detección de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llama, avisadores manuales y sistemas de diluvio</t>
    </r>
  </si>
  <si>
    <r>
      <t>Prvo Sist Fire &amp; Gas -Condensador M-902/ Enfriador M-904-906. Detección de 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llama, avisadores manuales, sistemas diluvio</t>
    </r>
  </si>
  <si>
    <t>Maleic/Polib</t>
  </si>
  <si>
    <t>Prvo Sist Fire &amp; Gas - Maleic/Polib. Sistemas de diluvios.</t>
  </si>
  <si>
    <t>Prvo Sist Fire &amp; Gas - SE 1015. Detección de humo convencional y por aspiración</t>
  </si>
  <si>
    <t>Prvo Sist Fire &amp; Gas - SE 1020.Sistema de diluvio, deteccion térmica, mezcla explosiva y avisadores manuales .</t>
  </si>
  <si>
    <t xml:space="preserve">SSA (ARO) </t>
  </si>
  <si>
    <t>SSA  (1019/Usina)</t>
  </si>
  <si>
    <t xml:space="preserve">SSA (PAO)  </t>
  </si>
  <si>
    <t>SSA (ARO)</t>
  </si>
  <si>
    <t xml:space="preserve">SSA ( Calderas) </t>
  </si>
  <si>
    <t xml:space="preserve">CCR </t>
  </si>
  <si>
    <t>LOGOP(PAO)</t>
  </si>
  <si>
    <t>Superv.(Planta)</t>
  </si>
  <si>
    <t>Prvo Sist Fire &amp; Gas - Parque Tanques. Avisadores manuales</t>
  </si>
  <si>
    <t>LOGOP(ARO)</t>
  </si>
  <si>
    <t xml:space="preserve">Prvo Sist Fire &amp; Gas - ARO.Parque de Tanques. Avisadores manuales </t>
  </si>
  <si>
    <t>LOGOP(LPG)</t>
  </si>
  <si>
    <t>ARO-(Magna)</t>
  </si>
  <si>
    <r>
      <t>Prvo Sist Fire &amp; Gas -Reactor K-903/Ptos químicos. Detección de mezcla explosiva e H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detección de llama y avisadores manuales </t>
    </r>
  </si>
  <si>
    <t>SSA(POLIB/MALEIC)</t>
  </si>
  <si>
    <t>PTNI POLIB.</t>
  </si>
  <si>
    <t>RADIONICS / NOTIF</t>
  </si>
  <si>
    <t>Prvo Sist Fire &amp; Gas - U-2000-U-2700. Avisadores manuales, sistema diluvio.</t>
  </si>
  <si>
    <t>Prvo Sist Fire &amp; Gas - LPG. Detección de mezcla explosiva-Puntuales.</t>
  </si>
  <si>
    <t>PTNI SSA</t>
  </si>
  <si>
    <t>PTNI ARO</t>
  </si>
  <si>
    <t>PTNI PAO</t>
  </si>
  <si>
    <r>
      <t>Prvo Sist Fire &amp; Gas -U-2400 Av. manuales - U-2600. Detección mezcla explosiva,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avisadores manuales</t>
    </r>
  </si>
  <si>
    <t>Tipo de tarea</t>
  </si>
  <si>
    <t>Dia</t>
  </si>
  <si>
    <t>1 dia habil</t>
  </si>
  <si>
    <t>2 dia habil</t>
  </si>
  <si>
    <t>3 dia habil</t>
  </si>
  <si>
    <t>4 dia habil</t>
  </si>
  <si>
    <t>5 dia habil</t>
  </si>
  <si>
    <t>6 dia habil</t>
  </si>
  <si>
    <t>7 dia habil</t>
  </si>
  <si>
    <t>8 dia habil</t>
  </si>
  <si>
    <t>9 dia habil</t>
  </si>
  <si>
    <t>10 dia habil</t>
  </si>
  <si>
    <t>11 dia habil</t>
  </si>
  <si>
    <t>12 dia habil</t>
  </si>
  <si>
    <t>13 dia habil</t>
  </si>
  <si>
    <t>14 dia habil</t>
  </si>
  <si>
    <t>15 dia habil</t>
  </si>
  <si>
    <t>16 dia habil</t>
  </si>
  <si>
    <t>17 dia habil</t>
  </si>
  <si>
    <t>18 dia habil</t>
  </si>
  <si>
    <t>19 dia habil</t>
  </si>
  <si>
    <t>20 dia habil</t>
  </si>
  <si>
    <t>No corresponde</t>
  </si>
  <si>
    <t>Capacitaciones de seguridad y operativas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</si>
</sst>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</font>
    <font>
      <sz val="11"/>
      <color rgb="FF000000"/>
      <name val="Segoe UI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/>
      <right style="medium">
        <color rgb="FFD1D1D1"/>
      </right>
      <top style="medium">
        <color rgb="FFD1D1D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3">
    <xf numFmtId="0" fontId="0" fillId="0" borderId="0" xfId="0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2" fillId="0" borderId="0" xfId="0" applyNumberFormat="1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vertical="center" wrapText="1"/>
    </xf>
    <xf numFmtId="0" fontId="0" fillId="6" borderId="9" xfId="0" applyFill="1" applyBorder="1"/>
    <xf numFmtId="0" fontId="9" fillId="6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9" fillId="6" borderId="0" xfId="0" applyFont="1" applyFill="1" applyAlignment="1">
      <alignment vertical="center" wrapText="1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7" borderId="1" xfId="0" applyFill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7" borderId="0" xfId="0" applyFill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8" borderId="45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 wrapText="1"/>
    </xf>
    <xf numFmtId="0" fontId="0" fillId="8" borderId="37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11" xfId="0" applyFill="1" applyBorder="1" applyAlignment="1">
      <alignment vertical="center" wrapText="1"/>
    </xf>
    <xf numFmtId="0" fontId="0" fillId="8" borderId="16" xfId="0" applyFill="1" applyBorder="1" applyAlignment="1">
      <alignment vertical="center" wrapText="1"/>
    </xf>
    <xf numFmtId="0" fontId="0" fillId="8" borderId="21" xfId="0" applyFill="1" applyBorder="1" applyAlignment="1">
      <alignment vertical="center" wrapText="1"/>
    </xf>
    <xf numFmtId="0" fontId="0" fillId="9" borderId="37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16" fontId="0" fillId="9" borderId="16" xfId="0" applyNumberFormat="1" applyFill="1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34" xfId="0" applyNumberFormat="1" applyBorder="1" applyAlignment="1">
      <alignment horizontal="center" vertical="center"/>
    </xf>
    <xf numFmtId="16" fontId="0" fillId="8" borderId="35" xfId="0" applyNumberFormat="1" applyFill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/>
    </xf>
    <xf numFmtId="16" fontId="0" fillId="8" borderId="47" xfId="0" applyNumberFormat="1" applyFill="1" applyBorder="1" applyAlignment="1">
      <alignment horizontal="center" vertical="center"/>
    </xf>
    <xf numFmtId="16" fontId="0" fillId="8" borderId="46" xfId="0" applyNumberFormat="1" applyFill="1" applyBorder="1" applyAlignment="1">
      <alignment horizontal="center" vertical="center"/>
    </xf>
    <xf numFmtId="16" fontId="0" fillId="0" borderId="47" xfId="0" applyNumberFormat="1" applyBorder="1" applyAlignment="1">
      <alignment horizontal="center" vertical="center"/>
    </xf>
    <xf numFmtId="16" fontId="0" fillId="0" borderId="46" xfId="0" applyNumberFormat="1" applyBorder="1" applyAlignment="1">
      <alignment horizontal="center" vertical="center"/>
    </xf>
    <xf numFmtId="16" fontId="0" fillId="8" borderId="16" xfId="0" applyNumberFormat="1" applyFill="1" applyBorder="1" applyAlignment="1">
      <alignment horizontal="center" vertical="center"/>
    </xf>
    <xf numFmtId="16" fontId="0" fillId="8" borderId="33" xfId="0" applyNumberFormat="1" applyFill="1" applyBorder="1" applyAlignment="1">
      <alignment horizontal="center" vertical="center"/>
    </xf>
    <xf numFmtId="16" fontId="0" fillId="8" borderId="34" xfId="0" applyNumberFormat="1" applyFill="1" applyBorder="1" applyAlignment="1">
      <alignment horizontal="center" vertical="center"/>
    </xf>
    <xf numFmtId="16" fontId="0" fillId="9" borderId="33" xfId="0" applyNumberFormat="1" applyFill="1" applyBorder="1" applyAlignment="1">
      <alignment horizontal="center" vertical="center"/>
    </xf>
    <xf numFmtId="16" fontId="0" fillId="9" borderId="3" xfId="0" applyNumberFormat="1" applyFill="1" applyBorder="1" applyAlignment="1">
      <alignment horizontal="center" vertical="center"/>
    </xf>
    <xf numFmtId="16" fontId="0" fillId="9" borderId="34" xfId="0" applyNumberFormat="1" applyFill="1" applyBorder="1" applyAlignment="1">
      <alignment horizontal="center" vertical="center"/>
    </xf>
    <xf numFmtId="16" fontId="11" fillId="7" borderId="34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16" fontId="0" fillId="8" borderId="27" xfId="0" applyNumberFormat="1" applyFill="1" applyBorder="1" applyAlignment="1">
      <alignment horizontal="center" vertical="center"/>
    </xf>
    <xf numFmtId="16" fontId="0" fillId="0" borderId="27" xfId="0" applyNumberFormat="1" applyBorder="1" applyAlignment="1">
      <alignment horizontal="center" vertical="center"/>
    </xf>
    <xf numFmtId="16" fontId="0" fillId="8" borderId="39" xfId="0" applyNumberFormat="1" applyFill="1" applyBorder="1" applyAlignment="1">
      <alignment horizontal="center" vertical="center"/>
    </xf>
    <xf numFmtId="16" fontId="0" fillId="8" borderId="36" xfId="0" applyNumberFormat="1" applyFill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 wrapText="1"/>
    </xf>
    <xf numFmtId="16" fontId="0" fillId="0" borderId="36" xfId="0" applyNumberFormat="1" applyBorder="1" applyAlignment="1">
      <alignment horizontal="center" vertical="center"/>
    </xf>
    <xf numFmtId="16" fontId="0" fillId="0" borderId="43" xfId="0" applyNumberFormat="1" applyBorder="1" applyAlignment="1">
      <alignment horizontal="center" vertical="center"/>
    </xf>
    <xf numFmtId="16" fontId="0" fillId="0" borderId="44" xfId="0" applyNumberFormat="1" applyBorder="1" applyAlignment="1">
      <alignment horizontal="center" vertical="center"/>
    </xf>
    <xf numFmtId="16" fontId="0" fillId="0" borderId="28" xfId="0" applyNumberFormat="1" applyBorder="1" applyAlignment="1">
      <alignment horizontal="center" vertical="center"/>
    </xf>
    <xf numFmtId="16" fontId="0" fillId="9" borderId="39" xfId="0" applyNumberFormat="1" applyFill="1" applyBorder="1" applyAlignment="1">
      <alignment horizontal="center" vertical="center"/>
    </xf>
    <xf numFmtId="16" fontId="0" fillId="9" borderId="28" xfId="0" applyNumberFormat="1" applyFill="1" applyBorder="1" applyAlignment="1">
      <alignment horizontal="center" vertical="center"/>
    </xf>
    <xf numFmtId="16" fontId="0" fillId="9" borderId="36" xfId="0" applyNumberFormat="1" applyFill="1" applyBorder="1" applyAlignment="1">
      <alignment horizontal="center" vertical="center"/>
    </xf>
    <xf numFmtId="16" fontId="0" fillId="9" borderId="42" xfId="0" applyNumberForma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9" borderId="1" xfId="0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" fontId="3" fillId="0" borderId="21" xfId="0" applyNumberFormat="1" applyFont="1" applyBorder="1" applyAlignment="1">
      <alignment horizontal="center" vertical="center"/>
    </xf>
    <xf numFmtId="16" fontId="3" fillId="0" borderId="19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16" fontId="3" fillId="0" borderId="13" xfId="0" applyNumberFormat="1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" fontId="3" fillId="0" borderId="33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" fontId="3" fillId="0" borderId="3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16" fontId="3" fillId="0" borderId="11" xfId="0" applyNumberFormat="1" applyFont="1" applyBorder="1" applyAlignment="1">
      <alignment horizontal="center" vertical="center"/>
    </xf>
    <xf numFmtId="16" fontId="3" fillId="0" borderId="46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" fontId="3" fillId="0" borderId="16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" fontId="3" fillId="0" borderId="14" xfId="0" applyNumberFormat="1" applyFont="1" applyBorder="1" applyAlignment="1">
      <alignment horizontal="center" vertical="center"/>
    </xf>
    <xf numFmtId="16" fontId="3" fillId="0" borderId="19" xfId="0" applyNumberFormat="1" applyFont="1" applyBorder="1" applyAlignment="1">
      <alignment horizontal="center" vertical="center" wrapText="1"/>
    </xf>
    <xf numFmtId="16" fontId="3" fillId="0" borderId="16" xfId="0" applyNumberFormat="1" applyFont="1" applyBorder="1" applyAlignment="1">
      <alignment horizontal="center" vertical="center" wrapText="1"/>
    </xf>
    <xf numFmtId="16" fontId="3" fillId="0" borderId="22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16" fontId="3" fillId="0" borderId="32" xfId="0" applyNumberFormat="1" applyFont="1" applyBorder="1" applyAlignment="1">
      <alignment horizontal="center" vertical="center"/>
    </xf>
    <xf numFmtId="16" fontId="3" fillId="0" borderId="41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" fontId="3" fillId="0" borderId="29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" fontId="3" fillId="0" borderId="3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" fontId="13" fillId="0" borderId="33" xfId="0" applyNumberFormat="1" applyFont="1" applyBorder="1" applyAlignment="1">
      <alignment horizontal="center" vertical="center"/>
    </xf>
    <xf numFmtId="16" fontId="13" fillId="0" borderId="3" xfId="0" applyNumberFormat="1" applyFont="1" applyBorder="1" applyAlignment="1">
      <alignment horizontal="center" vertical="center"/>
    </xf>
    <xf numFmtId="16" fontId="14" fillId="0" borderId="3" xfId="0" applyNumberFormat="1" applyFont="1" applyBorder="1" applyAlignment="1">
      <alignment horizontal="center" vertical="center"/>
    </xf>
    <xf numFmtId="16" fontId="14" fillId="0" borderId="32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4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0" xfId="0" applyFill="1" applyAlignment="1">
      <alignment wrapText="1"/>
    </xf>
    <xf numFmtId="16" fontId="20" fillId="0" borderId="1" xfId="0" applyNumberFormat="1" applyFont="1" applyBorder="1" applyAlignment="1">
      <alignment horizontal="center" vertical="center" wrapText="1"/>
    </xf>
    <xf numFmtId="16" fontId="17" fillId="0" borderId="0" xfId="0" applyNumberFormat="1" applyFont="1" applyAlignment="1">
      <alignment vertical="center" wrapText="1"/>
    </xf>
    <xf numFmtId="16" fontId="0" fillId="0" borderId="0" xfId="0" applyNumberFormat="1" applyAlignment="1">
      <alignment horizontal="center" vertical="center" wrapText="1"/>
    </xf>
    <xf numFmtId="0" fontId="10" fillId="0" borderId="4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" fontId="21" fillId="0" borderId="0" xfId="0" applyNumberFormat="1" applyFont="1" applyAlignment="1">
      <alignment vertical="center" wrapText="1"/>
    </xf>
    <xf numFmtId="16" fontId="22" fillId="0" borderId="1" xfId="0" applyNumberFormat="1" applyFont="1" applyBorder="1" applyAlignment="1">
      <alignment horizontal="center" vertical="center" wrapText="1"/>
    </xf>
    <xf numFmtId="16" fontId="23" fillId="0" borderId="0" xfId="0" applyNumberFormat="1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" fontId="16" fillId="0" borderId="1" xfId="0" applyNumberFormat="1" applyFont="1" applyBorder="1" applyAlignment="1">
      <alignment horizontal="center" vertical="center" wrapText="1"/>
    </xf>
    <xf numFmtId="16" fontId="16" fillId="8" borderId="1" xfId="0" applyNumberFormat="1" applyFont="1" applyFill="1" applyBorder="1" applyAlignment="1">
      <alignment horizontal="center" vertical="center" wrapText="1"/>
    </xf>
    <xf numFmtId="16" fontId="19" fillId="0" borderId="1" xfId="0" applyNumberFormat="1" applyFont="1" applyBorder="1" applyAlignment="1">
      <alignment horizontal="center" vertical="center" wrapText="1"/>
    </xf>
    <xf numFmtId="16" fontId="25" fillId="0" borderId="0" xfId="0" applyNumberFormat="1" applyFont="1" applyAlignment="1">
      <alignment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23" fillId="0" borderId="1" xfId="0" applyNumberFormat="1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16" fontId="23" fillId="9" borderId="1" xfId="0" applyNumberFormat="1" applyFont="1" applyFill="1" applyBorder="1" applyAlignment="1">
      <alignment horizontal="center" vertical="center" wrapText="1"/>
    </xf>
    <xf numFmtId="16" fontId="16" fillId="9" borderId="1" xfId="0" applyNumberFormat="1" applyFont="1" applyFill="1" applyBorder="1" applyAlignment="1">
      <alignment horizontal="center" vertical="center" wrapText="1"/>
    </xf>
    <xf numFmtId="16" fontId="23" fillId="0" borderId="1" xfId="0" applyNumberFormat="1" applyFont="1" applyBorder="1" applyAlignment="1">
      <alignment vertical="center" wrapText="1"/>
    </xf>
    <xf numFmtId="16" fontId="0" fillId="0" borderId="1" xfId="0" applyNumberFormat="1" applyBorder="1" applyAlignment="1">
      <alignment horizontal="left" vertical="center" wrapText="1"/>
    </xf>
    <xf numFmtId="16" fontId="24" fillId="9" borderId="1" xfId="0" applyNumberFormat="1" applyFont="1" applyFill="1" applyBorder="1" applyAlignment="1">
      <alignment horizontal="center" vertical="center" wrapText="1"/>
    </xf>
    <xf numFmtId="16" fontId="7" fillId="9" borderId="1" xfId="0" applyNumberFormat="1" applyFont="1" applyFill="1" applyBorder="1" applyAlignment="1">
      <alignment horizontal="center" vertical="center" wrapText="1"/>
    </xf>
    <xf numFmtId="16" fontId="19" fillId="9" borderId="1" xfId="0" applyNumberFormat="1" applyFont="1" applyFill="1" applyBorder="1" applyAlignment="1">
      <alignment horizontal="center" vertical="center" wrapText="1"/>
    </xf>
    <xf numFmtId="16" fontId="0" fillId="9" borderId="1" xfId="0" applyNumberFormat="1" applyFill="1" applyBorder="1" applyAlignment="1">
      <alignment horizontal="left" vertical="center" wrapText="1"/>
    </xf>
    <xf numFmtId="16" fontId="23" fillId="8" borderId="1" xfId="0" applyNumberFormat="1" applyFont="1" applyFill="1" applyBorder="1" applyAlignment="1">
      <alignment horizontal="center" vertical="center" wrapText="1"/>
    </xf>
    <xf numFmtId="16" fontId="24" fillId="8" borderId="1" xfId="0" applyNumberFormat="1" applyFont="1" applyFill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16" fontId="17" fillId="0" borderId="0" xfId="0" applyNumberFormat="1" applyFont="1" applyAlignment="1">
      <alignment horizontal="left" vertical="center" wrapText="1"/>
    </xf>
    <xf numFmtId="16" fontId="20" fillId="0" borderId="1" xfId="0" applyNumberFormat="1" applyFont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16" fontId="16" fillId="0" borderId="1" xfId="0" applyNumberFormat="1" applyFont="1" applyBorder="1" applyAlignment="1">
      <alignment horizontal="left" vertical="center" wrapText="1"/>
    </xf>
    <xf numFmtId="16" fontId="16" fillId="8" borderId="1" xfId="0" applyNumberFormat="1" applyFont="1" applyFill="1" applyBorder="1" applyAlignment="1">
      <alignment horizontal="left" vertical="center" wrapText="1"/>
    </xf>
    <xf numFmtId="16" fontId="23" fillId="0" borderId="1" xfId="0" applyNumberFormat="1" applyFont="1" applyBorder="1" applyAlignment="1">
      <alignment horizontal="left" vertical="center" wrapText="1"/>
    </xf>
    <xf numFmtId="16" fontId="23" fillId="8" borderId="1" xfId="0" applyNumberFormat="1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  <xf numFmtId="16" fontId="19" fillId="0" borderId="1" xfId="0" applyNumberFormat="1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16" xfId="0" applyFill="1" applyBorder="1" applyAlignment="1">
      <alignment horizontal="left" vertical="center" wrapText="1"/>
    </xf>
    <xf numFmtId="0" fontId="0" fillId="8" borderId="19" xfId="0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19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2" xfId="0" applyFill="1" applyBorder="1" applyAlignment="1">
      <alignment horizontal="left" vertical="center" wrapText="1"/>
    </xf>
    <xf numFmtId="0" fontId="0" fillId="9" borderId="1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19" xfId="0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8" borderId="16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" fontId="0" fillId="0" borderId="2" xfId="0" applyNumberFormat="1" applyBorder="1" applyAlignment="1">
      <alignment vertical="center" wrapText="1"/>
    </xf>
    <xf numFmtId="16" fontId="0" fillId="0" borderId="16" xfId="0" applyNumberFormat="1" applyBorder="1" applyAlignment="1">
      <alignment vertical="center" wrapText="1"/>
    </xf>
    <xf numFmtId="16" fontId="0" fillId="0" borderId="19" xfId="0" applyNumberFormat="1" applyBorder="1" applyAlignment="1">
      <alignment vertical="center" wrapText="1"/>
    </xf>
    <xf numFmtId="0" fontId="0" fillId="8" borderId="2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9" borderId="16" xfId="0" applyFill="1" applyBorder="1" applyAlignment="1">
      <alignment vertical="center"/>
    </xf>
    <xf numFmtId="0" fontId="0" fillId="9" borderId="19" xfId="0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16" fontId="0" fillId="8" borderId="48" xfId="0" applyNumberFormat="1" applyFill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16" fontId="0" fillId="8" borderId="49" xfId="0" applyNumberFormat="1" applyFill="1" applyBorder="1" applyAlignment="1">
      <alignment horizontal="center" vertical="center"/>
    </xf>
    <xf numFmtId="16" fontId="0" fillId="0" borderId="48" xfId="0" applyNumberFormat="1" applyBorder="1" applyAlignment="1">
      <alignment horizontal="center" vertical="center"/>
    </xf>
    <xf numFmtId="16" fontId="0" fillId="0" borderId="49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0" fontId="0" fillId="8" borderId="46" xfId="0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19" xfId="0" applyFill="1" applyBorder="1" applyAlignment="1">
      <alignment vertical="center"/>
    </xf>
    <xf numFmtId="0" fontId="0" fillId="8" borderId="21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0" xfId="0" applyBorder="1" applyAlignment="1">
      <alignment horizontal="left" vertical="center" wrapText="1"/>
    </xf>
    <xf numFmtId="16" fontId="0" fillId="0" borderId="50" xfId="0" applyNumberFormat="1" applyBorder="1" applyAlignment="1">
      <alignment horizontal="center" vertical="center" wrapText="1"/>
    </xf>
    <xf numFmtId="16" fontId="0" fillId="0" borderId="50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file:///\\Ssbuelpdat01\depart\Areas\privados\MANTENIM\INSTRUMENTOS\TISICO%20FIRE%20Y%20GAS\INFORMES%202024\11.NOVIEMBRE\ARO-Sala%20control%20B-1009-S-1300-S200-300-500-600-700-1300(06-11-2024)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19</xdr:row>
      <xdr:rowOff>25400</xdr:rowOff>
    </xdr:from>
    <xdr:to>
      <xdr:col>12</xdr:col>
      <xdr:colOff>495300</xdr:colOff>
      <xdr:row>19</xdr:row>
      <xdr:rowOff>158750</xdr:rowOff>
    </xdr:to>
    <xdr:sp macro="" textlink="">
      <xdr:nvSpPr>
        <xdr:cNvPr id="2" name="Diagrama de flujo: conecto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C02235-6049-8DF4-68AE-234E0D682ACB}"/>
            </a:ext>
          </a:extLst>
        </xdr:cNvPr>
        <xdr:cNvSpPr/>
      </xdr:nvSpPr>
      <xdr:spPr>
        <a:xfrm>
          <a:off x="7461250" y="5619750"/>
          <a:ext cx="133350" cy="1333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387350</xdr:colOff>
      <xdr:row>20</xdr:row>
      <xdr:rowOff>234950</xdr:rowOff>
    </xdr:from>
    <xdr:to>
      <xdr:col>12</xdr:col>
      <xdr:colOff>520700</xdr:colOff>
      <xdr:row>20</xdr:row>
      <xdr:rowOff>368300</xdr:rowOff>
    </xdr:to>
    <xdr:sp macro="" textlink="">
      <xdr:nvSpPr>
        <xdr:cNvPr id="3" name="Diagrama de flujo: conector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0CE969-C8C8-42E7-B61B-2E5C58CFE7DE}"/>
            </a:ext>
          </a:extLst>
        </xdr:cNvPr>
        <xdr:cNvSpPr/>
      </xdr:nvSpPr>
      <xdr:spPr>
        <a:xfrm>
          <a:off x="7486650" y="6019800"/>
          <a:ext cx="133350" cy="1333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342900</xdr:colOff>
      <xdr:row>16</xdr:row>
      <xdr:rowOff>133350</xdr:rowOff>
    </xdr:from>
    <xdr:to>
      <xdr:col>12</xdr:col>
      <xdr:colOff>476250</xdr:colOff>
      <xdr:row>16</xdr:row>
      <xdr:rowOff>266700</xdr:rowOff>
    </xdr:to>
    <xdr:sp macro="" textlink="">
      <xdr:nvSpPr>
        <xdr:cNvPr id="5" name="Diagrama de flujo: conector 4">
          <a:extLst>
            <a:ext uri="{FF2B5EF4-FFF2-40B4-BE49-F238E27FC236}">
              <a16:creationId xmlns:a16="http://schemas.microsoft.com/office/drawing/2014/main" id="{36CA3A2F-CA43-47FD-B08E-055B91FCFA0B}"/>
            </a:ext>
          </a:extLst>
        </xdr:cNvPr>
        <xdr:cNvSpPr/>
      </xdr:nvSpPr>
      <xdr:spPr>
        <a:xfrm>
          <a:off x="7442200" y="4775200"/>
          <a:ext cx="133350" cy="1333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4ABE-509A-4C08-ACE4-454ABAE3A364}">
  <dimension ref="A1:L395"/>
  <sheetViews>
    <sheetView topLeftCell="A3412" zoomScale="115" zoomScaleNormal="115" workbookViewId="0">
      <selection activeCell="C14" sqref="C14"/>
    </sheetView>
  </sheetViews>
  <sheetFormatPr baseColWidth="10" defaultColWidth="11.44140625" defaultRowHeight="14.4" x14ac:dyDescent="0.3"/>
  <cols>
    <col min="1" max="1" width="15" customWidth="1"/>
    <col min="2" max="2" width="14.109375" style="17" bestFit="1" customWidth="1"/>
    <col min="3" max="3" width="17" customWidth="1"/>
    <col min="4" max="4" width="4.5546875" customWidth="1"/>
    <col min="5" max="5" width="6.5546875" bestFit="1" customWidth="1"/>
    <col min="6" max="6" width="21" bestFit="1" customWidth="1"/>
    <col min="7" max="7" width="127.88671875" customWidth="1"/>
    <col min="8" max="8" width="28.88671875" customWidth="1"/>
    <col min="9" max="9" width="14.109375" customWidth="1"/>
  </cols>
  <sheetData>
    <row r="1" spans="1:10" ht="15" thickBot="1" x14ac:dyDescent="0.35"/>
    <row r="2" spans="1:10" x14ac:dyDescent="0.3">
      <c r="F2" s="273" t="s">
        <v>0</v>
      </c>
      <c r="G2" s="274"/>
    </row>
    <row r="3" spans="1:10" ht="15" thickBot="1" x14ac:dyDescent="0.35">
      <c r="A3" s="1" t="s">
        <v>1</v>
      </c>
      <c r="B3" s="15" t="s">
        <v>2</v>
      </c>
      <c r="C3" s="2" t="s">
        <v>3</v>
      </c>
      <c r="F3" s="275"/>
      <c r="G3" s="276"/>
    </row>
    <row r="4" spans="1:10" ht="21" x14ac:dyDescent="0.3">
      <c r="A4" s="24"/>
      <c r="B4" s="15"/>
      <c r="C4" s="2"/>
      <c r="F4" s="25"/>
      <c r="G4" s="25"/>
    </row>
    <row r="5" spans="1:10" ht="18" x14ac:dyDescent="0.35">
      <c r="A5" s="3">
        <v>900676207</v>
      </c>
      <c r="B5" s="18">
        <v>801306854</v>
      </c>
      <c r="C5" s="5" t="s">
        <v>4</v>
      </c>
      <c r="F5" s="6"/>
    </row>
    <row r="6" spans="1:10" ht="18" x14ac:dyDescent="0.35">
      <c r="A6" s="3">
        <v>900676209</v>
      </c>
      <c r="B6" s="18">
        <v>801306845</v>
      </c>
      <c r="C6" s="5" t="s">
        <v>5</v>
      </c>
      <c r="F6" s="6" t="s">
        <v>6</v>
      </c>
      <c r="G6" s="6"/>
    </row>
    <row r="7" spans="1:10" ht="15.75" customHeight="1" x14ac:dyDescent="0.35">
      <c r="A7" s="3">
        <v>900676211</v>
      </c>
      <c r="B7" s="18">
        <v>801271404</v>
      </c>
      <c r="C7" s="5" t="s">
        <v>7</v>
      </c>
      <c r="F7" s="18">
        <v>801306858</v>
      </c>
      <c r="G7" s="8" t="s">
        <v>8</v>
      </c>
      <c r="H7" s="9"/>
    </row>
    <row r="8" spans="1:10" ht="15.75" customHeight="1" x14ac:dyDescent="0.35">
      <c r="A8" s="3">
        <v>900676214</v>
      </c>
      <c r="B8" s="18">
        <v>801306858</v>
      </c>
      <c r="C8" s="5" t="s">
        <v>9</v>
      </c>
      <c r="F8" s="18">
        <v>801306845</v>
      </c>
      <c r="G8" s="8" t="s">
        <v>10</v>
      </c>
    </row>
    <row r="9" spans="1:10" ht="15.75" customHeight="1" x14ac:dyDescent="0.35">
      <c r="A9" s="3">
        <v>900676217</v>
      </c>
      <c r="B9" s="16">
        <v>801271406</v>
      </c>
      <c r="C9" s="5" t="s">
        <v>11</v>
      </c>
      <c r="F9" s="23"/>
    </row>
    <row r="10" spans="1:10" ht="15.75" customHeight="1" x14ac:dyDescent="0.35">
      <c r="A10" s="28"/>
      <c r="B10" s="29"/>
      <c r="C10" s="30"/>
      <c r="F10" s="6" t="s">
        <v>12</v>
      </c>
    </row>
    <row r="11" spans="1:10" ht="15.6" x14ac:dyDescent="0.3">
      <c r="F11" s="18">
        <v>801306845</v>
      </c>
      <c r="G11" s="26" t="s">
        <v>13</v>
      </c>
    </row>
    <row r="12" spans="1:10" ht="15.6" x14ac:dyDescent="0.3">
      <c r="F12" s="18">
        <v>801306845</v>
      </c>
      <c r="G12" s="26" t="s">
        <v>14</v>
      </c>
    </row>
    <row r="13" spans="1:10" ht="15.6" x14ac:dyDescent="0.3">
      <c r="F13" s="22"/>
    </row>
    <row r="14" spans="1:10" x14ac:dyDescent="0.3">
      <c r="F14" s="11" t="s">
        <v>15</v>
      </c>
    </row>
    <row r="15" spans="1:10" ht="15.6" x14ac:dyDescent="0.3">
      <c r="F15" s="18">
        <v>801306845</v>
      </c>
      <c r="G15" s="8" t="s">
        <v>16</v>
      </c>
    </row>
    <row r="16" spans="1:10" ht="15.6" x14ac:dyDescent="0.3">
      <c r="F16" s="18">
        <v>801271404</v>
      </c>
      <c r="G16" s="8" t="s">
        <v>17</v>
      </c>
      <c r="I16" s="12"/>
      <c r="J16" s="12"/>
    </row>
    <row r="17" spans="3:12" ht="15.6" x14ac:dyDescent="0.3">
      <c r="F17" s="18">
        <v>801306858</v>
      </c>
      <c r="G17" s="8" t="s">
        <v>18</v>
      </c>
      <c r="I17" s="12"/>
      <c r="J17" s="12"/>
    </row>
    <row r="18" spans="3:12" ht="15.6" x14ac:dyDescent="0.3">
      <c r="F18" s="22"/>
      <c r="I18" s="12"/>
      <c r="J18" s="12"/>
    </row>
    <row r="19" spans="3:12" x14ac:dyDescent="0.3">
      <c r="F19" s="11" t="s">
        <v>19</v>
      </c>
      <c r="I19" s="12"/>
      <c r="J19" s="12"/>
    </row>
    <row r="20" spans="3:12" ht="15.6" x14ac:dyDescent="0.3">
      <c r="F20" s="18">
        <v>801306845</v>
      </c>
      <c r="G20" s="8" t="s">
        <v>20</v>
      </c>
    </row>
    <row r="21" spans="3:12" ht="15.6" x14ac:dyDescent="0.3">
      <c r="F21" s="18">
        <v>801271404</v>
      </c>
      <c r="G21" s="8" t="s">
        <v>21</v>
      </c>
    </row>
    <row r="22" spans="3:12" ht="15.6" x14ac:dyDescent="0.3">
      <c r="F22" s="23"/>
    </row>
    <row r="23" spans="3:12" x14ac:dyDescent="0.3">
      <c r="F23" s="11" t="s">
        <v>22</v>
      </c>
    </row>
    <row r="24" spans="3:12" ht="33.6" x14ac:dyDescent="0.3">
      <c r="F24" s="18">
        <v>801306845</v>
      </c>
      <c r="G24" s="21" t="s">
        <v>23</v>
      </c>
    </row>
    <row r="25" spans="3:12" ht="16.8" x14ac:dyDescent="0.3">
      <c r="F25" s="18">
        <v>801306858</v>
      </c>
      <c r="G25" s="21" t="s">
        <v>24</v>
      </c>
    </row>
    <row r="26" spans="3:12" ht="16.8" x14ac:dyDescent="0.3">
      <c r="F26" s="18">
        <v>801306858</v>
      </c>
      <c r="G26" s="21" t="s">
        <v>25</v>
      </c>
    </row>
    <row r="27" spans="3:12" x14ac:dyDescent="0.3">
      <c r="F27" s="12"/>
    </row>
    <row r="28" spans="3:12" ht="15" x14ac:dyDescent="0.3">
      <c r="F28" s="11" t="s">
        <v>26</v>
      </c>
      <c r="I28" s="14"/>
      <c r="J28" s="14"/>
      <c r="K28" s="14"/>
      <c r="L28" s="14"/>
    </row>
    <row r="29" spans="3:12" ht="17.399999999999999" thickBot="1" x14ac:dyDescent="0.35">
      <c r="F29" s="18">
        <v>801306858</v>
      </c>
      <c r="G29" s="21" t="s">
        <v>27</v>
      </c>
      <c r="I29" s="14"/>
      <c r="J29" s="14"/>
      <c r="K29" s="14"/>
      <c r="L29" s="14"/>
    </row>
    <row r="30" spans="3:12" ht="17.399999999999999" thickBot="1" x14ac:dyDescent="0.35">
      <c r="F30" s="18">
        <v>801306845</v>
      </c>
      <c r="G30" s="21" t="s">
        <v>28</v>
      </c>
      <c r="H30" s="20"/>
      <c r="I30" s="14"/>
      <c r="J30" s="14"/>
      <c r="K30" s="14"/>
      <c r="L30" s="14"/>
    </row>
    <row r="31" spans="3:12" ht="26.1" customHeight="1" thickBot="1" x14ac:dyDescent="0.35">
      <c r="F31" s="18" t="s">
        <v>29</v>
      </c>
      <c r="G31" s="21" t="s">
        <v>30</v>
      </c>
      <c r="H31" s="19"/>
      <c r="I31" s="14"/>
      <c r="J31" s="14"/>
      <c r="K31" s="14"/>
      <c r="L31" s="14"/>
    </row>
    <row r="32" spans="3:12" ht="16.8" x14ac:dyDescent="0.3">
      <c r="C32" s="31"/>
      <c r="F32" s="12"/>
      <c r="H32" s="27"/>
      <c r="I32" s="14"/>
      <c r="J32" s="14"/>
      <c r="K32" s="14"/>
      <c r="L32" s="14"/>
    </row>
    <row r="33" spans="3:7" x14ac:dyDescent="0.3">
      <c r="C33" s="31"/>
      <c r="F33" s="11" t="s">
        <v>31</v>
      </c>
    </row>
    <row r="34" spans="3:7" ht="16.8" x14ac:dyDescent="0.3">
      <c r="C34" s="31"/>
      <c r="F34" s="18">
        <v>801306845</v>
      </c>
      <c r="G34" s="21" t="s">
        <v>32</v>
      </c>
    </row>
    <row r="35" spans="3:7" x14ac:dyDescent="0.3">
      <c r="C35" s="31"/>
      <c r="F35" s="12"/>
    </row>
    <row r="36" spans="3:7" x14ac:dyDescent="0.3">
      <c r="C36" s="31"/>
      <c r="F36" s="11" t="s">
        <v>33</v>
      </c>
    </row>
    <row r="37" spans="3:7" ht="16.8" x14ac:dyDescent="0.3">
      <c r="C37" s="31"/>
      <c r="F37" s="18">
        <v>801306845</v>
      </c>
      <c r="G37" s="21" t="s">
        <v>34</v>
      </c>
    </row>
    <row r="38" spans="3:7" x14ac:dyDescent="0.3">
      <c r="C38" s="31"/>
      <c r="F38" s="12"/>
    </row>
    <row r="39" spans="3:7" x14ac:dyDescent="0.3">
      <c r="C39" s="31"/>
      <c r="F39" s="11" t="s">
        <v>35</v>
      </c>
    </row>
    <row r="40" spans="3:7" ht="15.6" x14ac:dyDescent="0.3">
      <c r="C40" s="31"/>
      <c r="F40" s="18">
        <v>801306845</v>
      </c>
      <c r="G40" s="8" t="s">
        <v>36</v>
      </c>
    </row>
    <row r="41" spans="3:7" ht="15.6" x14ac:dyDescent="0.3">
      <c r="C41" s="31"/>
      <c r="F41" s="18">
        <v>801306854</v>
      </c>
      <c r="G41" s="8" t="s">
        <v>37</v>
      </c>
    </row>
    <row r="42" spans="3:7" x14ac:dyDescent="0.3">
      <c r="C42" s="31"/>
      <c r="F42" s="12"/>
    </row>
    <row r="43" spans="3:7" x14ac:dyDescent="0.3">
      <c r="C43" s="31"/>
      <c r="F43" s="11" t="s">
        <v>38</v>
      </c>
    </row>
    <row r="44" spans="3:7" ht="15.6" x14ac:dyDescent="0.3">
      <c r="C44" s="31"/>
      <c r="F44" s="18">
        <v>801306858</v>
      </c>
      <c r="G44" s="8" t="s">
        <v>39</v>
      </c>
    </row>
    <row r="45" spans="3:7" ht="15.6" x14ac:dyDescent="0.3">
      <c r="C45" s="31"/>
      <c r="F45" s="23"/>
    </row>
    <row r="46" spans="3:7" x14ac:dyDescent="0.3">
      <c r="C46" s="31"/>
      <c r="F46" s="11" t="s">
        <v>40</v>
      </c>
    </row>
    <row r="47" spans="3:7" ht="15.6" x14ac:dyDescent="0.3">
      <c r="C47" s="31"/>
      <c r="F47" s="18">
        <v>801271404</v>
      </c>
      <c r="G47" s="8" t="s">
        <v>41</v>
      </c>
    </row>
    <row r="48" spans="3:7" ht="15.6" x14ac:dyDescent="0.3">
      <c r="C48" s="31"/>
      <c r="F48" s="18">
        <v>801306854</v>
      </c>
      <c r="G48" s="8" t="s">
        <v>42</v>
      </c>
    </row>
    <row r="49" spans="3:7" ht="15.6" x14ac:dyDescent="0.3">
      <c r="C49" s="31"/>
      <c r="F49" s="18">
        <v>801271404</v>
      </c>
      <c r="G49" s="8" t="s">
        <v>43</v>
      </c>
    </row>
    <row r="50" spans="3:7" ht="15.6" x14ac:dyDescent="0.3">
      <c r="C50" s="31"/>
      <c r="F50" s="23"/>
    </row>
    <row r="51" spans="3:7" x14ac:dyDescent="0.3">
      <c r="C51" s="31"/>
      <c r="F51" s="11" t="s">
        <v>44</v>
      </c>
    </row>
    <row r="52" spans="3:7" ht="15.6" x14ac:dyDescent="0.3">
      <c r="C52" s="31"/>
      <c r="F52" s="18">
        <v>801306854</v>
      </c>
      <c r="G52" s="8" t="s">
        <v>45</v>
      </c>
    </row>
    <row r="53" spans="3:7" ht="15.6" x14ac:dyDescent="0.3">
      <c r="C53" s="31"/>
      <c r="F53" s="18">
        <v>801306854</v>
      </c>
      <c r="G53" s="8" t="s">
        <v>46</v>
      </c>
    </row>
    <row r="54" spans="3:7" ht="15.6" x14ac:dyDescent="0.3">
      <c r="C54" s="31"/>
      <c r="F54" s="23"/>
    </row>
    <row r="55" spans="3:7" x14ac:dyDescent="0.3">
      <c r="C55" s="31"/>
      <c r="F55" s="11" t="s">
        <v>47</v>
      </c>
    </row>
    <row r="56" spans="3:7" ht="15.6" x14ac:dyDescent="0.3">
      <c r="C56" s="31"/>
      <c r="F56" s="18">
        <v>801306858</v>
      </c>
      <c r="G56" s="8" t="s">
        <v>48</v>
      </c>
    </row>
    <row r="57" spans="3:7" ht="15.6" x14ac:dyDescent="0.3">
      <c r="C57" s="31"/>
      <c r="F57" s="18">
        <v>801306854</v>
      </c>
      <c r="G57" s="8" t="s">
        <v>45</v>
      </c>
    </row>
    <row r="58" spans="3:7" ht="15.6" x14ac:dyDescent="0.3">
      <c r="C58" s="31"/>
      <c r="F58" s="13"/>
    </row>
    <row r="59" spans="3:7" x14ac:dyDescent="0.3">
      <c r="C59" s="31"/>
      <c r="F59" s="11" t="s">
        <v>49</v>
      </c>
    </row>
    <row r="60" spans="3:7" ht="15.6" x14ac:dyDescent="0.3">
      <c r="C60" s="31"/>
      <c r="F60" s="4">
        <v>801306858</v>
      </c>
      <c r="G60" s="8" t="s">
        <v>50</v>
      </c>
    </row>
    <row r="61" spans="3:7" ht="15.6" x14ac:dyDescent="0.3">
      <c r="C61" s="31"/>
      <c r="F61" s="4">
        <v>801306854</v>
      </c>
      <c r="G61" s="8" t="s">
        <v>51</v>
      </c>
    </row>
    <row r="62" spans="3:7" x14ac:dyDescent="0.3">
      <c r="C62" s="31"/>
    </row>
    <row r="63" spans="3:7" x14ac:dyDescent="0.3">
      <c r="C63" s="31"/>
      <c r="F63" s="11" t="s">
        <v>52</v>
      </c>
    </row>
    <row r="64" spans="3:7" ht="15.6" x14ac:dyDescent="0.3">
      <c r="C64" s="31"/>
      <c r="F64" s="4">
        <v>801271404</v>
      </c>
      <c r="G64" s="35" t="s">
        <v>53</v>
      </c>
    </row>
    <row r="65" spans="3:7" ht="15.6" x14ac:dyDescent="0.3">
      <c r="C65" s="31"/>
      <c r="F65" s="4">
        <v>801306854</v>
      </c>
      <c r="G65" s="8" t="s">
        <v>54</v>
      </c>
    </row>
    <row r="66" spans="3:7" ht="15.6" x14ac:dyDescent="0.3">
      <c r="C66" s="31"/>
      <c r="F66" s="4">
        <v>801306854</v>
      </c>
      <c r="G66" s="8" t="s">
        <v>55</v>
      </c>
    </row>
    <row r="67" spans="3:7" x14ac:dyDescent="0.3">
      <c r="C67" s="31"/>
      <c r="F67" s="6"/>
    </row>
    <row r="68" spans="3:7" x14ac:dyDescent="0.3">
      <c r="C68" s="31"/>
      <c r="F68" s="12"/>
    </row>
    <row r="69" spans="3:7" x14ac:dyDescent="0.3">
      <c r="C69" s="31"/>
      <c r="F69" s="11" t="s">
        <v>56</v>
      </c>
    </row>
    <row r="70" spans="3:7" ht="15.6" x14ac:dyDescent="0.3">
      <c r="C70" s="31"/>
      <c r="F70" s="4">
        <v>801271404</v>
      </c>
      <c r="G70" s="8" t="s">
        <v>57</v>
      </c>
    </row>
    <row r="71" spans="3:7" ht="15.6" x14ac:dyDescent="0.3">
      <c r="C71" s="31"/>
      <c r="F71" s="18">
        <v>801306854</v>
      </c>
      <c r="G71" s="8" t="s">
        <v>58</v>
      </c>
    </row>
    <row r="72" spans="3:7" ht="15.6" x14ac:dyDescent="0.3">
      <c r="C72" s="31"/>
      <c r="F72" s="18">
        <v>801306854</v>
      </c>
      <c r="G72" s="8" t="s">
        <v>59</v>
      </c>
    </row>
    <row r="73" spans="3:7" x14ac:dyDescent="0.3">
      <c r="C73" s="31"/>
      <c r="F73" s="10"/>
    </row>
    <row r="74" spans="3:7" x14ac:dyDescent="0.3">
      <c r="C74" s="31"/>
      <c r="F74" s="12"/>
    </row>
    <row r="75" spans="3:7" x14ac:dyDescent="0.3">
      <c r="C75" s="31"/>
      <c r="F75" s="11" t="s">
        <v>60</v>
      </c>
    </row>
    <row r="76" spans="3:7" ht="15.6" x14ac:dyDescent="0.3">
      <c r="C76" s="31"/>
      <c r="F76" s="4">
        <v>801306845</v>
      </c>
      <c r="G76" s="8" t="s">
        <v>61</v>
      </c>
    </row>
    <row r="77" spans="3:7" ht="15.6" x14ac:dyDescent="0.3">
      <c r="C77" s="31"/>
      <c r="F77" s="4">
        <v>801306845</v>
      </c>
      <c r="G77" s="8" t="s">
        <v>62</v>
      </c>
    </row>
    <row r="78" spans="3:7" ht="15.6" x14ac:dyDescent="0.3">
      <c r="C78" s="31"/>
      <c r="F78" s="4">
        <v>801306854</v>
      </c>
      <c r="G78" s="8" t="s">
        <v>63</v>
      </c>
    </row>
    <row r="79" spans="3:7" x14ac:dyDescent="0.3">
      <c r="C79" s="31"/>
      <c r="F79" s="12"/>
    </row>
    <row r="80" spans="3:7" x14ac:dyDescent="0.3">
      <c r="C80" s="31"/>
      <c r="F80" s="11" t="s">
        <v>64</v>
      </c>
    </row>
    <row r="81" spans="3:7" ht="15.6" x14ac:dyDescent="0.3">
      <c r="C81" s="31"/>
      <c r="F81" s="4">
        <v>801306845</v>
      </c>
      <c r="G81" s="8" t="s">
        <v>65</v>
      </c>
    </row>
    <row r="82" spans="3:7" ht="15.6" x14ac:dyDescent="0.3">
      <c r="C82" s="31"/>
      <c r="F82" s="4">
        <v>801306845</v>
      </c>
      <c r="G82" s="8" t="s">
        <v>66</v>
      </c>
    </row>
    <row r="83" spans="3:7" ht="15.6" x14ac:dyDescent="0.3">
      <c r="C83" s="31"/>
      <c r="F83" s="4">
        <v>801306845</v>
      </c>
      <c r="G83" s="8" t="s">
        <v>67</v>
      </c>
    </row>
    <row r="84" spans="3:7" x14ac:dyDescent="0.3">
      <c r="C84" s="31"/>
      <c r="F84" s="12"/>
    </row>
    <row r="85" spans="3:7" x14ac:dyDescent="0.3">
      <c r="C85" s="31"/>
      <c r="F85" s="11" t="s">
        <v>68</v>
      </c>
    </row>
    <row r="86" spans="3:7" ht="15.6" x14ac:dyDescent="0.3">
      <c r="F86" s="4">
        <v>801306845</v>
      </c>
      <c r="G86" s="8" t="s">
        <v>34</v>
      </c>
    </row>
    <row r="87" spans="3:7" ht="15.6" x14ac:dyDescent="0.3">
      <c r="F87" s="4">
        <v>801306845</v>
      </c>
      <c r="G87" s="8" t="s">
        <v>69</v>
      </c>
    </row>
    <row r="88" spans="3:7" ht="15.6" x14ac:dyDescent="0.3">
      <c r="F88" s="4">
        <v>801306845</v>
      </c>
      <c r="G88" s="8" t="s">
        <v>70</v>
      </c>
    </row>
    <row r="90" spans="3:7" x14ac:dyDescent="0.3">
      <c r="F90" s="11" t="s">
        <v>71</v>
      </c>
    </row>
    <row r="91" spans="3:7" ht="15.6" x14ac:dyDescent="0.3">
      <c r="F91" s="4">
        <v>801271404</v>
      </c>
      <c r="G91" s="8" t="s">
        <v>17</v>
      </c>
    </row>
    <row r="92" spans="3:7" ht="15.6" x14ac:dyDescent="0.3">
      <c r="F92" s="4">
        <v>801306858</v>
      </c>
      <c r="G92" s="8" t="s">
        <v>18</v>
      </c>
    </row>
    <row r="93" spans="3:7" ht="15.6" x14ac:dyDescent="0.3">
      <c r="F93" s="4">
        <v>801306845</v>
      </c>
      <c r="G93" s="8" t="s">
        <v>36</v>
      </c>
    </row>
    <row r="95" spans="3:7" x14ac:dyDescent="0.3">
      <c r="F95" s="11" t="s">
        <v>72</v>
      </c>
    </row>
    <row r="96" spans="3:7" ht="15.6" x14ac:dyDescent="0.3">
      <c r="F96" s="4">
        <v>801271404</v>
      </c>
      <c r="G96" s="8" t="s">
        <v>21</v>
      </c>
    </row>
    <row r="97" spans="6:7" ht="15.6" x14ac:dyDescent="0.3">
      <c r="F97" s="4"/>
      <c r="G97" s="8"/>
    </row>
    <row r="99" spans="6:7" x14ac:dyDescent="0.3">
      <c r="F99" s="11" t="s">
        <v>73</v>
      </c>
    </row>
    <row r="100" spans="6:7" ht="15.6" x14ac:dyDescent="0.3">
      <c r="F100" s="4">
        <v>801306854</v>
      </c>
      <c r="G100" s="8" t="s">
        <v>42</v>
      </c>
    </row>
    <row r="101" spans="6:7" ht="15.6" x14ac:dyDescent="0.3">
      <c r="F101" s="4">
        <v>801271404</v>
      </c>
      <c r="G101" s="8" t="s">
        <v>43</v>
      </c>
    </row>
    <row r="102" spans="6:7" ht="15.6" x14ac:dyDescent="0.3">
      <c r="F102" s="4" t="s">
        <v>74</v>
      </c>
      <c r="G102" s="8" t="s">
        <v>75</v>
      </c>
    </row>
    <row r="104" spans="6:7" x14ac:dyDescent="0.3">
      <c r="F104" s="11" t="s">
        <v>76</v>
      </c>
    </row>
    <row r="105" spans="6:7" x14ac:dyDescent="0.3">
      <c r="F105" s="7">
        <v>801306854</v>
      </c>
      <c r="G105" s="8" t="s">
        <v>77</v>
      </c>
    </row>
    <row r="106" spans="6:7" ht="15.6" x14ac:dyDescent="0.3">
      <c r="F106" s="4" t="s">
        <v>74</v>
      </c>
      <c r="G106" s="8" t="s">
        <v>75</v>
      </c>
    </row>
    <row r="108" spans="6:7" x14ac:dyDescent="0.3">
      <c r="F108" s="11" t="s">
        <v>78</v>
      </c>
    </row>
    <row r="109" spans="6:7" x14ac:dyDescent="0.3">
      <c r="F109" s="32" t="s">
        <v>74</v>
      </c>
      <c r="G109" s="8" t="s">
        <v>79</v>
      </c>
    </row>
    <row r="110" spans="6:7" x14ac:dyDescent="0.3">
      <c r="F110" s="32">
        <v>801306854</v>
      </c>
      <c r="G110" s="8" t="s">
        <v>80</v>
      </c>
    </row>
    <row r="111" spans="6:7" x14ac:dyDescent="0.3">
      <c r="F111" s="32"/>
      <c r="G111" s="8"/>
    </row>
    <row r="112" spans="6:7" x14ac:dyDescent="0.3">
      <c r="F112" s="17"/>
    </row>
    <row r="113" spans="6:7" x14ac:dyDescent="0.3">
      <c r="F113" s="11" t="s">
        <v>81</v>
      </c>
    </row>
    <row r="114" spans="6:7" x14ac:dyDescent="0.3">
      <c r="F114" s="32">
        <v>801306854</v>
      </c>
      <c r="G114" s="8" t="s">
        <v>82</v>
      </c>
    </row>
    <row r="115" spans="6:7" ht="15.6" x14ac:dyDescent="0.3">
      <c r="F115" s="18">
        <v>801306858</v>
      </c>
      <c r="G115" s="8" t="s">
        <v>48</v>
      </c>
    </row>
    <row r="119" spans="6:7" x14ac:dyDescent="0.3">
      <c r="F119" s="11" t="s">
        <v>83</v>
      </c>
    </row>
    <row r="120" spans="6:7" x14ac:dyDescent="0.3">
      <c r="F120" s="32">
        <v>801306854</v>
      </c>
      <c r="G120" s="8" t="s">
        <v>84</v>
      </c>
    </row>
    <row r="121" spans="6:7" x14ac:dyDescent="0.3">
      <c r="F121" s="32">
        <v>801306854</v>
      </c>
      <c r="G121" s="8" t="s">
        <v>85</v>
      </c>
    </row>
    <row r="122" spans="6:7" ht="15.6" x14ac:dyDescent="0.3">
      <c r="F122" s="4">
        <v>801306858</v>
      </c>
      <c r="G122" s="8" t="s">
        <v>50</v>
      </c>
    </row>
    <row r="125" spans="6:7" x14ac:dyDescent="0.3">
      <c r="F125" s="11" t="s">
        <v>86</v>
      </c>
    </row>
    <row r="126" spans="6:7" ht="15.6" x14ac:dyDescent="0.3">
      <c r="F126" s="18">
        <v>801271404</v>
      </c>
      <c r="G126" s="8" t="s">
        <v>41</v>
      </c>
    </row>
    <row r="127" spans="6:7" ht="15.6" x14ac:dyDescent="0.3">
      <c r="F127" s="4">
        <v>801306845</v>
      </c>
      <c r="G127" s="8" t="s">
        <v>62</v>
      </c>
    </row>
    <row r="128" spans="6:7" ht="15.6" x14ac:dyDescent="0.3">
      <c r="F128" s="4">
        <v>801306854</v>
      </c>
      <c r="G128" s="8" t="s">
        <v>63</v>
      </c>
    </row>
    <row r="130" spans="6:7" x14ac:dyDescent="0.3">
      <c r="F130" s="11" t="s">
        <v>87</v>
      </c>
    </row>
    <row r="131" spans="6:7" ht="15.6" x14ac:dyDescent="0.3">
      <c r="F131" s="4">
        <v>801306845</v>
      </c>
      <c r="G131" s="8" t="s">
        <v>62</v>
      </c>
    </row>
    <row r="132" spans="6:7" ht="15.6" x14ac:dyDescent="0.3">
      <c r="F132" s="4">
        <v>801306854</v>
      </c>
      <c r="G132" s="8" t="s">
        <v>63</v>
      </c>
    </row>
    <row r="134" spans="6:7" x14ac:dyDescent="0.3">
      <c r="F134" s="11" t="s">
        <v>88</v>
      </c>
    </row>
    <row r="135" spans="6:7" ht="15.6" x14ac:dyDescent="0.3">
      <c r="F135" s="4">
        <v>801306845</v>
      </c>
      <c r="G135" s="8" t="s">
        <v>62</v>
      </c>
    </row>
    <row r="136" spans="6:7" ht="15.6" x14ac:dyDescent="0.3">
      <c r="F136" s="4">
        <v>801306854</v>
      </c>
      <c r="G136" s="8" t="s">
        <v>63</v>
      </c>
    </row>
    <row r="138" spans="6:7" x14ac:dyDescent="0.3">
      <c r="F138" s="11" t="s">
        <v>89</v>
      </c>
    </row>
    <row r="139" spans="6:7" ht="15.6" x14ac:dyDescent="0.3">
      <c r="F139" s="4">
        <v>801306845</v>
      </c>
      <c r="G139" s="8" t="s">
        <v>90</v>
      </c>
    </row>
    <row r="140" spans="6:7" ht="15.6" x14ac:dyDescent="0.3">
      <c r="F140" s="4">
        <v>801306854</v>
      </c>
      <c r="G140" s="8" t="s">
        <v>91</v>
      </c>
    </row>
    <row r="141" spans="6:7" x14ac:dyDescent="0.3">
      <c r="F141" s="8"/>
      <c r="G141" s="8"/>
    </row>
    <row r="144" spans="6:7" x14ac:dyDescent="0.3">
      <c r="F144" s="11" t="s">
        <v>92</v>
      </c>
    </row>
    <row r="145" spans="6:7" ht="15.6" x14ac:dyDescent="0.3">
      <c r="F145" s="18">
        <v>801306854</v>
      </c>
      <c r="G145" s="8" t="s">
        <v>93</v>
      </c>
    </row>
    <row r="146" spans="6:7" ht="15.6" x14ac:dyDescent="0.3">
      <c r="F146" s="18">
        <v>801306854</v>
      </c>
      <c r="G146" s="8" t="s">
        <v>94</v>
      </c>
    </row>
    <row r="148" spans="6:7" x14ac:dyDescent="0.3">
      <c r="F148" s="11" t="s">
        <v>95</v>
      </c>
    </row>
    <row r="149" spans="6:7" ht="15.6" x14ac:dyDescent="0.3">
      <c r="F149" s="18">
        <v>801306845</v>
      </c>
      <c r="G149" s="26" t="s">
        <v>13</v>
      </c>
    </row>
    <row r="150" spans="6:7" ht="15.6" x14ac:dyDescent="0.3">
      <c r="F150" s="18"/>
      <c r="G150" s="8"/>
    </row>
    <row r="152" spans="6:7" x14ac:dyDescent="0.3">
      <c r="F152" s="11" t="s">
        <v>96</v>
      </c>
    </row>
    <row r="153" spans="6:7" ht="15.6" x14ac:dyDescent="0.3">
      <c r="F153" s="18">
        <v>801306845</v>
      </c>
      <c r="G153" s="26" t="s">
        <v>13</v>
      </c>
    </row>
    <row r="155" spans="6:7" x14ac:dyDescent="0.3">
      <c r="F155" s="11" t="s">
        <v>97</v>
      </c>
    </row>
    <row r="156" spans="6:7" ht="15.6" x14ac:dyDescent="0.3">
      <c r="F156" s="18">
        <v>801306858</v>
      </c>
      <c r="G156" s="26" t="s">
        <v>98</v>
      </c>
    </row>
    <row r="157" spans="6:7" ht="15.6" x14ac:dyDescent="0.3">
      <c r="F157" s="18">
        <v>801306858</v>
      </c>
      <c r="G157" s="26" t="s">
        <v>99</v>
      </c>
    </row>
    <row r="159" spans="6:7" x14ac:dyDescent="0.3">
      <c r="F159" s="11" t="s">
        <v>100</v>
      </c>
    </row>
    <row r="160" spans="6:7" ht="15.6" x14ac:dyDescent="0.3">
      <c r="F160" s="18">
        <v>801306845</v>
      </c>
      <c r="G160" s="26" t="s">
        <v>16</v>
      </c>
    </row>
    <row r="161" spans="6:7" ht="15.6" x14ac:dyDescent="0.3">
      <c r="F161" s="18">
        <v>801271404</v>
      </c>
      <c r="G161" s="33" t="s">
        <v>101</v>
      </c>
    </row>
    <row r="162" spans="6:7" ht="15.6" x14ac:dyDescent="0.3">
      <c r="F162" s="18">
        <v>801271406</v>
      </c>
      <c r="G162" s="33" t="s">
        <v>102</v>
      </c>
    </row>
    <row r="164" spans="6:7" x14ac:dyDescent="0.3">
      <c r="F164" s="11" t="s">
        <v>103</v>
      </c>
    </row>
    <row r="165" spans="6:7" ht="15.6" x14ac:dyDescent="0.3">
      <c r="F165" s="4">
        <v>801271404</v>
      </c>
      <c r="G165" s="8" t="s">
        <v>101</v>
      </c>
    </row>
    <row r="166" spans="6:7" ht="15.6" x14ac:dyDescent="0.3">
      <c r="F166" s="4">
        <v>801271406</v>
      </c>
      <c r="G166" s="8" t="s">
        <v>102</v>
      </c>
    </row>
    <row r="167" spans="6:7" ht="33.6" x14ac:dyDescent="0.3">
      <c r="F167" s="18">
        <v>801306845</v>
      </c>
      <c r="G167" s="21" t="s">
        <v>13</v>
      </c>
    </row>
    <row r="170" spans="6:7" x14ac:dyDescent="0.3">
      <c r="F170" s="11" t="s">
        <v>104</v>
      </c>
    </row>
    <row r="171" spans="6:7" ht="15.6" x14ac:dyDescent="0.3">
      <c r="F171" s="18">
        <v>801306845</v>
      </c>
      <c r="G171" s="26" t="s">
        <v>105</v>
      </c>
    </row>
    <row r="172" spans="6:7" ht="15.6" x14ac:dyDescent="0.3">
      <c r="F172" s="18">
        <v>801306845</v>
      </c>
      <c r="G172" s="26" t="s">
        <v>106</v>
      </c>
    </row>
    <row r="173" spans="6:7" ht="16.8" x14ac:dyDescent="0.3">
      <c r="F173" s="18">
        <v>801306845</v>
      </c>
      <c r="G173" s="21" t="s">
        <v>34</v>
      </c>
    </row>
    <row r="174" spans="6:7" x14ac:dyDescent="0.3">
      <c r="F174" s="8"/>
      <c r="G174" s="8"/>
    </row>
    <row r="177" spans="6:7" ht="15.6" x14ac:dyDescent="0.3">
      <c r="F177" s="4" t="s">
        <v>74</v>
      </c>
      <c r="G177" s="8" t="s">
        <v>75</v>
      </c>
    </row>
    <row r="178" spans="6:7" ht="15.6" x14ac:dyDescent="0.3">
      <c r="F178" s="18">
        <v>801271404</v>
      </c>
      <c r="G178" s="8" t="s">
        <v>21</v>
      </c>
    </row>
    <row r="180" spans="6:7" x14ac:dyDescent="0.3">
      <c r="F180" s="34" t="s">
        <v>107</v>
      </c>
    </row>
    <row r="181" spans="6:7" ht="16.8" x14ac:dyDescent="0.3">
      <c r="F181" s="18">
        <v>801306858</v>
      </c>
      <c r="G181" s="21" t="s">
        <v>24</v>
      </c>
    </row>
    <row r="182" spans="6:7" ht="16.8" x14ac:dyDescent="0.3">
      <c r="F182" s="18">
        <v>801306858</v>
      </c>
      <c r="G182" s="21" t="s">
        <v>25</v>
      </c>
    </row>
    <row r="183" spans="6:7" x14ac:dyDescent="0.3">
      <c r="F183" s="32" t="s">
        <v>74</v>
      </c>
      <c r="G183" s="8" t="s">
        <v>79</v>
      </c>
    </row>
    <row r="185" spans="6:7" x14ac:dyDescent="0.3">
      <c r="F185" s="34" t="s">
        <v>108</v>
      </c>
    </row>
    <row r="186" spans="6:7" ht="15.6" x14ac:dyDescent="0.3">
      <c r="F186" s="18">
        <v>801306858</v>
      </c>
      <c r="G186" s="8" t="s">
        <v>48</v>
      </c>
    </row>
    <row r="187" spans="6:7" ht="16.8" x14ac:dyDescent="0.3">
      <c r="F187" s="18">
        <v>801306845</v>
      </c>
      <c r="G187" s="21" t="s">
        <v>109</v>
      </c>
    </row>
    <row r="188" spans="6:7" ht="31.2" x14ac:dyDescent="0.3">
      <c r="F188" s="18" t="s">
        <v>29</v>
      </c>
      <c r="G188" s="21" t="s">
        <v>110</v>
      </c>
    </row>
    <row r="190" spans="6:7" x14ac:dyDescent="0.3">
      <c r="F190" s="11" t="s">
        <v>111</v>
      </c>
    </row>
    <row r="191" spans="6:7" ht="15.6" x14ac:dyDescent="0.3">
      <c r="F191" s="4">
        <v>801306858</v>
      </c>
      <c r="G191" s="8" t="s">
        <v>50</v>
      </c>
    </row>
    <row r="193" spans="6:7" x14ac:dyDescent="0.3">
      <c r="F193" s="11" t="s">
        <v>112</v>
      </c>
    </row>
    <row r="194" spans="6:7" x14ac:dyDescent="0.3">
      <c r="F194" s="32">
        <v>801306858</v>
      </c>
      <c r="G194" s="8" t="s">
        <v>113</v>
      </c>
    </row>
    <row r="196" spans="6:7" x14ac:dyDescent="0.3">
      <c r="F196" s="11" t="s">
        <v>114</v>
      </c>
    </row>
    <row r="197" spans="6:7" x14ac:dyDescent="0.3">
      <c r="F197" s="32">
        <v>801306858</v>
      </c>
      <c r="G197" s="36" t="s">
        <v>115</v>
      </c>
    </row>
    <row r="199" spans="6:7" x14ac:dyDescent="0.3">
      <c r="F199" s="11" t="s">
        <v>116</v>
      </c>
    </row>
    <row r="200" spans="6:7" ht="15.6" x14ac:dyDescent="0.3">
      <c r="F200" s="18">
        <v>801271404</v>
      </c>
      <c r="G200" s="8" t="s">
        <v>41</v>
      </c>
    </row>
    <row r="202" spans="6:7" x14ac:dyDescent="0.3">
      <c r="F202" s="11" t="s">
        <v>117</v>
      </c>
    </row>
    <row r="203" spans="6:7" ht="15.6" x14ac:dyDescent="0.3">
      <c r="F203" s="18">
        <v>801271404</v>
      </c>
      <c r="G203" s="8" t="s">
        <v>118</v>
      </c>
    </row>
    <row r="206" spans="6:7" x14ac:dyDescent="0.3">
      <c r="F206" s="11" t="s">
        <v>119</v>
      </c>
    </row>
    <row r="207" spans="6:7" ht="15.6" x14ac:dyDescent="0.3">
      <c r="F207" s="18">
        <v>801271404</v>
      </c>
      <c r="G207" s="8" t="s">
        <v>41</v>
      </c>
    </row>
    <row r="209" spans="6:7" x14ac:dyDescent="0.3">
      <c r="F209" s="11" t="s">
        <v>120</v>
      </c>
    </row>
    <row r="210" spans="6:7" ht="15.6" x14ac:dyDescent="0.3">
      <c r="F210" s="18">
        <v>801306854</v>
      </c>
      <c r="G210" s="8" t="s">
        <v>37</v>
      </c>
    </row>
    <row r="211" spans="6:7" ht="15.6" x14ac:dyDescent="0.3">
      <c r="F211" s="18">
        <v>801306845</v>
      </c>
      <c r="G211" s="26" t="s">
        <v>121</v>
      </c>
    </row>
    <row r="213" spans="6:7" x14ac:dyDescent="0.3">
      <c r="F213" s="11" t="s">
        <v>122</v>
      </c>
    </row>
    <row r="214" spans="6:7" ht="15.6" x14ac:dyDescent="0.3">
      <c r="F214" s="4">
        <v>801306854</v>
      </c>
      <c r="G214" s="8" t="s">
        <v>51</v>
      </c>
    </row>
    <row r="215" spans="6:7" ht="15.6" x14ac:dyDescent="0.3">
      <c r="F215" s="18">
        <v>801306845</v>
      </c>
      <c r="G215" s="8" t="s">
        <v>16</v>
      </c>
    </row>
    <row r="217" spans="6:7" x14ac:dyDescent="0.3">
      <c r="F217" s="11" t="s">
        <v>123</v>
      </c>
    </row>
    <row r="218" spans="6:7" ht="15.6" x14ac:dyDescent="0.3">
      <c r="F218" s="4">
        <v>801306854</v>
      </c>
      <c r="G218" s="8" t="s">
        <v>54</v>
      </c>
    </row>
    <row r="219" spans="6:7" ht="15.6" x14ac:dyDescent="0.3">
      <c r="F219" s="4">
        <v>801306854</v>
      </c>
      <c r="G219" s="8" t="s">
        <v>55</v>
      </c>
    </row>
    <row r="220" spans="6:7" ht="15.6" x14ac:dyDescent="0.3">
      <c r="F220" s="18">
        <v>801306845</v>
      </c>
      <c r="G220" s="33" t="s">
        <v>124</v>
      </c>
    </row>
    <row r="222" spans="6:7" x14ac:dyDescent="0.3">
      <c r="F222" s="11" t="s">
        <v>125</v>
      </c>
    </row>
    <row r="223" spans="6:7" ht="16.8" x14ac:dyDescent="0.3">
      <c r="F223" s="18">
        <v>801306845</v>
      </c>
      <c r="G223" s="21" t="s">
        <v>32</v>
      </c>
    </row>
    <row r="224" spans="6:7" x14ac:dyDescent="0.3">
      <c r="F224" s="32">
        <v>801306854</v>
      </c>
      <c r="G224" s="8" t="s">
        <v>84</v>
      </c>
    </row>
    <row r="225" spans="6:7" x14ac:dyDescent="0.3">
      <c r="F225" s="32">
        <v>801306854</v>
      </c>
      <c r="G225" s="8" t="s">
        <v>85</v>
      </c>
    </row>
    <row r="227" spans="6:7" x14ac:dyDescent="0.3">
      <c r="F227" s="11" t="s">
        <v>126</v>
      </c>
    </row>
    <row r="228" spans="6:7" ht="16.8" x14ac:dyDescent="0.3">
      <c r="F228" s="18">
        <v>801306845</v>
      </c>
      <c r="G228" s="21" t="s">
        <v>34</v>
      </c>
    </row>
    <row r="229" spans="6:7" ht="15.6" x14ac:dyDescent="0.3">
      <c r="F229" s="18">
        <v>801306845</v>
      </c>
      <c r="G229" s="8" t="s">
        <v>62</v>
      </c>
    </row>
    <row r="230" spans="6:7" ht="15.6" x14ac:dyDescent="0.3">
      <c r="F230" s="4">
        <v>801306854</v>
      </c>
      <c r="G230" s="8" t="s">
        <v>63</v>
      </c>
    </row>
    <row r="232" spans="6:7" x14ac:dyDescent="0.3">
      <c r="F232" s="11" t="s">
        <v>127</v>
      </c>
    </row>
    <row r="233" spans="6:7" ht="15.6" x14ac:dyDescent="0.3">
      <c r="F233" s="18">
        <v>801306858</v>
      </c>
      <c r="G233" s="26" t="s">
        <v>98</v>
      </c>
    </row>
    <row r="234" spans="6:7" ht="15.6" x14ac:dyDescent="0.3">
      <c r="F234" s="18">
        <v>801306858</v>
      </c>
      <c r="G234" s="26" t="s">
        <v>99</v>
      </c>
    </row>
    <row r="235" spans="6:7" ht="15.6" x14ac:dyDescent="0.3">
      <c r="F235" s="18">
        <v>801306858</v>
      </c>
      <c r="G235" s="8" t="s">
        <v>128</v>
      </c>
    </row>
    <row r="237" spans="6:7" x14ac:dyDescent="0.3">
      <c r="F237" s="11" t="s">
        <v>129</v>
      </c>
    </row>
    <row r="238" spans="6:7" ht="15.6" x14ac:dyDescent="0.3">
      <c r="F238" s="18">
        <v>801306845</v>
      </c>
      <c r="G238" s="8" t="s">
        <v>36</v>
      </c>
    </row>
    <row r="239" spans="6:7" ht="15.6" x14ac:dyDescent="0.3">
      <c r="F239" s="18">
        <v>801271404</v>
      </c>
      <c r="G239" s="26" t="s">
        <v>130</v>
      </c>
    </row>
    <row r="240" spans="6:7" ht="15.6" x14ac:dyDescent="0.3">
      <c r="F240" s="4" t="s">
        <v>131</v>
      </c>
      <c r="G240" s="26" t="s">
        <v>132</v>
      </c>
    </row>
    <row r="242" spans="6:7" x14ac:dyDescent="0.3">
      <c r="F242" s="11" t="s">
        <v>133</v>
      </c>
    </row>
    <row r="243" spans="6:7" ht="15.6" x14ac:dyDescent="0.3">
      <c r="F243" s="18">
        <v>801306858</v>
      </c>
      <c r="G243" s="8" t="s">
        <v>39</v>
      </c>
    </row>
    <row r="244" spans="6:7" ht="15.6" x14ac:dyDescent="0.3">
      <c r="F244" s="4">
        <v>801306845</v>
      </c>
      <c r="G244" s="8" t="s">
        <v>66</v>
      </c>
    </row>
    <row r="245" spans="6:7" ht="15.6" x14ac:dyDescent="0.3">
      <c r="F245" s="4">
        <v>801306845</v>
      </c>
      <c r="G245" s="8" t="s">
        <v>67</v>
      </c>
    </row>
    <row r="247" spans="6:7" x14ac:dyDescent="0.3">
      <c r="F247" s="11" t="s">
        <v>134</v>
      </c>
    </row>
    <row r="248" spans="6:7" ht="15.6" x14ac:dyDescent="0.3">
      <c r="F248" s="4">
        <v>801306845</v>
      </c>
      <c r="G248" s="8" t="s">
        <v>69</v>
      </c>
    </row>
    <row r="249" spans="6:7" ht="15.6" x14ac:dyDescent="0.3">
      <c r="F249" s="4">
        <v>801306845</v>
      </c>
      <c r="G249" s="8" t="s">
        <v>70</v>
      </c>
    </row>
    <row r="250" spans="6:7" ht="15.6" x14ac:dyDescent="0.3">
      <c r="F250" s="4" t="s">
        <v>74</v>
      </c>
      <c r="G250" s="8" t="s">
        <v>75</v>
      </c>
    </row>
    <row r="252" spans="6:7" x14ac:dyDescent="0.3">
      <c r="F252" s="11" t="s">
        <v>135</v>
      </c>
    </row>
    <row r="253" spans="6:7" ht="15.6" x14ac:dyDescent="0.3">
      <c r="F253" s="18">
        <v>801271404</v>
      </c>
      <c r="G253" s="8" t="s">
        <v>17</v>
      </c>
    </row>
    <row r="254" spans="6:7" ht="15.6" x14ac:dyDescent="0.3">
      <c r="F254" s="18">
        <v>801306858</v>
      </c>
      <c r="G254" s="8" t="s">
        <v>18</v>
      </c>
    </row>
    <row r="255" spans="6:7" x14ac:dyDescent="0.3">
      <c r="F255" s="32" t="s">
        <v>74</v>
      </c>
      <c r="G255" s="8" t="s">
        <v>79</v>
      </c>
    </row>
    <row r="257" spans="6:7" x14ac:dyDescent="0.3">
      <c r="F257" s="11" t="s">
        <v>136</v>
      </c>
    </row>
    <row r="258" spans="6:7" ht="15.6" x14ac:dyDescent="0.3">
      <c r="F258" s="18">
        <v>801306858</v>
      </c>
      <c r="G258" s="8" t="s">
        <v>48</v>
      </c>
    </row>
    <row r="259" spans="6:7" ht="15.6" x14ac:dyDescent="0.3">
      <c r="F259" s="18">
        <v>801271404</v>
      </c>
      <c r="G259" s="8" t="s">
        <v>21</v>
      </c>
    </row>
    <row r="261" spans="6:7" x14ac:dyDescent="0.3">
      <c r="F261" s="11" t="s">
        <v>137</v>
      </c>
    </row>
    <row r="262" spans="6:7" ht="16.8" x14ac:dyDescent="0.3">
      <c r="F262" s="18">
        <v>801306858</v>
      </c>
      <c r="G262" s="21" t="s">
        <v>24</v>
      </c>
    </row>
    <row r="263" spans="6:7" ht="16.8" x14ac:dyDescent="0.3">
      <c r="F263" s="18">
        <v>801306858</v>
      </c>
      <c r="G263" s="21" t="s">
        <v>25</v>
      </c>
    </row>
    <row r="264" spans="6:7" ht="15.6" x14ac:dyDescent="0.3">
      <c r="F264" s="4">
        <v>801306858</v>
      </c>
      <c r="G264" s="8" t="s">
        <v>50</v>
      </c>
    </row>
    <row r="266" spans="6:7" x14ac:dyDescent="0.3">
      <c r="F266" s="11" t="s">
        <v>138</v>
      </c>
    </row>
    <row r="267" spans="6:7" ht="15.6" x14ac:dyDescent="0.3">
      <c r="F267" s="4">
        <v>801271404</v>
      </c>
      <c r="G267" s="35" t="s">
        <v>53</v>
      </c>
    </row>
    <row r="268" spans="6:7" ht="16.8" x14ac:dyDescent="0.3">
      <c r="F268" s="18">
        <v>801306845</v>
      </c>
      <c r="G268" s="21" t="s">
        <v>139</v>
      </c>
    </row>
    <row r="269" spans="6:7" ht="31.2" x14ac:dyDescent="0.3">
      <c r="F269" s="18" t="s">
        <v>29</v>
      </c>
      <c r="G269" s="21" t="s">
        <v>30</v>
      </c>
    </row>
    <row r="271" spans="6:7" x14ac:dyDescent="0.3">
      <c r="F271" s="11" t="s">
        <v>140</v>
      </c>
    </row>
    <row r="272" spans="6:7" ht="15.6" x14ac:dyDescent="0.3">
      <c r="F272" s="18">
        <v>801306858</v>
      </c>
      <c r="G272" s="8" t="s">
        <v>8</v>
      </c>
    </row>
    <row r="273" spans="6:7" ht="16.8" x14ac:dyDescent="0.3">
      <c r="F273" s="18">
        <v>801306845</v>
      </c>
      <c r="G273" s="21" t="s">
        <v>139</v>
      </c>
    </row>
    <row r="275" spans="6:7" x14ac:dyDescent="0.3">
      <c r="F275" s="11" t="s">
        <v>141</v>
      </c>
    </row>
    <row r="276" spans="6:7" ht="15.6" x14ac:dyDescent="0.3">
      <c r="F276" s="4">
        <v>801271404</v>
      </c>
      <c r="G276" s="8" t="s">
        <v>57</v>
      </c>
    </row>
    <row r="278" spans="6:7" x14ac:dyDescent="0.3">
      <c r="F278" s="11" t="s">
        <v>142</v>
      </c>
    </row>
    <row r="279" spans="6:7" ht="15.6" x14ac:dyDescent="0.3">
      <c r="F279" s="4">
        <v>801271404</v>
      </c>
      <c r="G279" s="35" t="s">
        <v>53</v>
      </c>
    </row>
    <row r="281" spans="6:7" x14ac:dyDescent="0.3">
      <c r="F281" s="11" t="s">
        <v>143</v>
      </c>
    </row>
    <row r="282" spans="6:7" ht="15.6" x14ac:dyDescent="0.3">
      <c r="F282" s="4">
        <v>801306845</v>
      </c>
      <c r="G282" s="8" t="s">
        <v>61</v>
      </c>
    </row>
    <row r="283" spans="6:7" ht="15.6" x14ac:dyDescent="0.3">
      <c r="F283" s="18">
        <v>801306854</v>
      </c>
      <c r="G283" s="8" t="s">
        <v>37</v>
      </c>
    </row>
    <row r="285" spans="6:7" x14ac:dyDescent="0.3">
      <c r="F285" s="11" t="s">
        <v>144</v>
      </c>
    </row>
    <row r="286" spans="6:7" ht="15.6" x14ac:dyDescent="0.3">
      <c r="F286" s="4">
        <v>801306854</v>
      </c>
      <c r="G286" s="8" t="s">
        <v>91</v>
      </c>
    </row>
    <row r="287" spans="6:7" ht="15.6" x14ac:dyDescent="0.3">
      <c r="F287" s="18">
        <v>801306854</v>
      </c>
      <c r="G287" s="8" t="s">
        <v>93</v>
      </c>
    </row>
    <row r="289" spans="1:7" x14ac:dyDescent="0.3">
      <c r="F289" s="11" t="s">
        <v>145</v>
      </c>
    </row>
    <row r="290" spans="1:7" ht="15.6" x14ac:dyDescent="0.3">
      <c r="F290" s="18">
        <v>801306845</v>
      </c>
      <c r="G290" s="26" t="s">
        <v>121</v>
      </c>
    </row>
    <row r="291" spans="1:7" ht="15.6" x14ac:dyDescent="0.3">
      <c r="A291" s="1" t="s">
        <v>1</v>
      </c>
      <c r="B291" s="15" t="s">
        <v>2</v>
      </c>
      <c r="C291" s="2" t="s">
        <v>3</v>
      </c>
      <c r="F291" s="4">
        <v>801306854</v>
      </c>
      <c r="G291" s="8" t="s">
        <v>146</v>
      </c>
    </row>
    <row r="292" spans="1:7" ht="15.6" x14ac:dyDescent="0.3">
      <c r="A292" s="24"/>
      <c r="B292" s="15"/>
      <c r="C292" s="2"/>
      <c r="F292" s="18">
        <v>801306845</v>
      </c>
      <c r="G292" s="8" t="s">
        <v>147</v>
      </c>
    </row>
    <row r="293" spans="1:7" ht="18" x14ac:dyDescent="0.35">
      <c r="A293" s="3">
        <v>900676207</v>
      </c>
      <c r="B293" s="18">
        <v>801306854</v>
      </c>
      <c r="C293" s="5" t="s">
        <v>4</v>
      </c>
    </row>
    <row r="294" spans="1:7" ht="18" x14ac:dyDescent="0.35">
      <c r="A294" s="3">
        <v>900676209</v>
      </c>
      <c r="B294" s="18">
        <v>801306845</v>
      </c>
      <c r="C294" s="5" t="s">
        <v>5</v>
      </c>
      <c r="F294" s="11" t="s">
        <v>148</v>
      </c>
    </row>
    <row r="295" spans="1:7" ht="18" x14ac:dyDescent="0.35">
      <c r="A295" s="3">
        <v>900676211</v>
      </c>
      <c r="B295" s="18">
        <v>801271404</v>
      </c>
      <c r="C295" s="5" t="s">
        <v>7</v>
      </c>
    </row>
    <row r="296" spans="1:7" ht="18" x14ac:dyDescent="0.35">
      <c r="A296" s="3">
        <v>900676214</v>
      </c>
      <c r="B296" s="18">
        <v>801306858</v>
      </c>
      <c r="C296" s="5" t="s">
        <v>9</v>
      </c>
      <c r="F296" s="11" t="s">
        <v>149</v>
      </c>
    </row>
    <row r="297" spans="1:7" ht="18" x14ac:dyDescent="0.35">
      <c r="A297" s="3">
        <v>900676217</v>
      </c>
      <c r="B297" s="16">
        <v>801271406</v>
      </c>
      <c r="C297" s="5" t="s">
        <v>11</v>
      </c>
      <c r="E297" t="s">
        <v>150</v>
      </c>
      <c r="F297" s="18">
        <v>801306845</v>
      </c>
      <c r="G297" s="8" t="s">
        <v>16</v>
      </c>
    </row>
    <row r="298" spans="1:7" ht="15.6" x14ac:dyDescent="0.3">
      <c r="E298" t="s">
        <v>151</v>
      </c>
      <c r="F298" s="18" t="s">
        <v>152</v>
      </c>
      <c r="G298" s="8" t="s">
        <v>42</v>
      </c>
    </row>
    <row r="299" spans="1:7" ht="15.6" x14ac:dyDescent="0.3">
      <c r="E299" t="s">
        <v>151</v>
      </c>
      <c r="F299" s="18">
        <v>801271404</v>
      </c>
      <c r="G299" s="8" t="s">
        <v>43</v>
      </c>
    </row>
    <row r="301" spans="1:7" x14ac:dyDescent="0.3">
      <c r="F301" s="11" t="s">
        <v>153</v>
      </c>
    </row>
    <row r="302" spans="1:7" ht="16.8" x14ac:dyDescent="0.3">
      <c r="E302" t="s">
        <v>150</v>
      </c>
      <c r="F302" s="18">
        <v>801306845</v>
      </c>
      <c r="G302" s="21" t="s">
        <v>34</v>
      </c>
    </row>
    <row r="303" spans="1:7" ht="15.6" x14ac:dyDescent="0.3">
      <c r="E303" t="s">
        <v>151</v>
      </c>
      <c r="F303" s="18">
        <v>801306854</v>
      </c>
      <c r="G303" s="8" t="s">
        <v>42</v>
      </c>
    </row>
    <row r="304" spans="1:7" ht="15.6" x14ac:dyDescent="0.3">
      <c r="E304" t="s">
        <v>151</v>
      </c>
      <c r="F304" s="18">
        <v>801271404</v>
      </c>
      <c r="G304" s="8" t="s">
        <v>43</v>
      </c>
    </row>
    <row r="306" spans="5:7" x14ac:dyDescent="0.3">
      <c r="F306" s="11" t="s">
        <v>154</v>
      </c>
    </row>
    <row r="307" spans="5:7" ht="15.6" x14ac:dyDescent="0.3">
      <c r="F307" s="18">
        <v>801306854</v>
      </c>
      <c r="G307" s="8" t="s">
        <v>155</v>
      </c>
    </row>
    <row r="308" spans="5:7" ht="15.6" x14ac:dyDescent="0.3">
      <c r="F308" s="18">
        <v>801271404</v>
      </c>
      <c r="G308" s="8" t="s">
        <v>156</v>
      </c>
    </row>
    <row r="309" spans="5:7" ht="15.6" x14ac:dyDescent="0.3">
      <c r="F309" s="18">
        <v>801306858</v>
      </c>
      <c r="G309" s="8" t="s">
        <v>39</v>
      </c>
    </row>
    <row r="312" spans="5:7" x14ac:dyDescent="0.3">
      <c r="F312" s="11" t="s">
        <v>157</v>
      </c>
    </row>
    <row r="313" spans="5:7" ht="15.6" x14ac:dyDescent="0.3">
      <c r="E313" t="s">
        <v>150</v>
      </c>
      <c r="F313" s="4" t="s">
        <v>74</v>
      </c>
      <c r="G313" s="8" t="s">
        <v>75</v>
      </c>
    </row>
    <row r="314" spans="5:7" ht="15.6" x14ac:dyDescent="0.3">
      <c r="E314" t="s">
        <v>151</v>
      </c>
      <c r="F314" s="18">
        <v>801306854</v>
      </c>
      <c r="G314" s="8" t="s">
        <v>45</v>
      </c>
    </row>
    <row r="315" spans="5:7" ht="15.6" x14ac:dyDescent="0.3">
      <c r="E315" t="s">
        <v>151</v>
      </c>
      <c r="F315" s="18">
        <v>801306854</v>
      </c>
      <c r="G315" s="8" t="s">
        <v>46</v>
      </c>
    </row>
    <row r="317" spans="5:7" x14ac:dyDescent="0.3">
      <c r="F317" s="11" t="s">
        <v>158</v>
      </c>
    </row>
    <row r="318" spans="5:7" ht="15.6" x14ac:dyDescent="0.3">
      <c r="E318" t="s">
        <v>150</v>
      </c>
      <c r="F318" s="4" t="s">
        <v>74</v>
      </c>
      <c r="G318" s="8" t="s">
        <v>159</v>
      </c>
    </row>
    <row r="319" spans="5:7" ht="15.6" x14ac:dyDescent="0.3">
      <c r="E319" t="s">
        <v>151</v>
      </c>
      <c r="F319" s="4">
        <v>801306854</v>
      </c>
      <c r="G319" s="8" t="s">
        <v>51</v>
      </c>
    </row>
    <row r="321" spans="5:7" x14ac:dyDescent="0.3">
      <c r="F321" s="11" t="s">
        <v>160</v>
      </c>
    </row>
    <row r="322" spans="5:7" x14ac:dyDescent="0.3">
      <c r="E322" t="s">
        <v>150</v>
      </c>
      <c r="F322" s="32" t="s">
        <v>74</v>
      </c>
      <c r="G322" s="8" t="s">
        <v>79</v>
      </c>
    </row>
    <row r="323" spans="5:7" ht="15.6" x14ac:dyDescent="0.3">
      <c r="E323" t="s">
        <v>151</v>
      </c>
      <c r="F323" s="4">
        <v>801306854</v>
      </c>
      <c r="G323" s="8" t="s">
        <v>54</v>
      </c>
    </row>
    <row r="324" spans="5:7" ht="15.6" x14ac:dyDescent="0.3">
      <c r="E324" t="s">
        <v>151</v>
      </c>
      <c r="F324" s="4">
        <v>801306854</v>
      </c>
      <c r="G324" s="8" t="s">
        <v>55</v>
      </c>
    </row>
    <row r="326" spans="5:7" x14ac:dyDescent="0.3">
      <c r="F326" s="11" t="s">
        <v>161</v>
      </c>
    </row>
    <row r="327" spans="5:7" ht="15.6" x14ac:dyDescent="0.3">
      <c r="E327" t="s">
        <v>150</v>
      </c>
      <c r="F327" s="18">
        <v>801306858</v>
      </c>
      <c r="G327" s="8" t="s">
        <v>48</v>
      </c>
    </row>
    <row r="328" spans="5:7" ht="15.6" x14ac:dyDescent="0.3">
      <c r="E328" t="s">
        <v>151</v>
      </c>
      <c r="F328" s="18">
        <v>801306854</v>
      </c>
      <c r="G328" s="8" t="s">
        <v>58</v>
      </c>
    </row>
    <row r="329" spans="5:7" ht="15.6" x14ac:dyDescent="0.3">
      <c r="E329" t="s">
        <v>151</v>
      </c>
      <c r="F329" s="18">
        <v>801306854</v>
      </c>
      <c r="G329" s="8" t="s">
        <v>59</v>
      </c>
    </row>
    <row r="331" spans="5:7" x14ac:dyDescent="0.3">
      <c r="F331" s="11" t="s">
        <v>162</v>
      </c>
    </row>
    <row r="332" spans="5:7" ht="15.6" x14ac:dyDescent="0.3">
      <c r="E332" t="s">
        <v>151</v>
      </c>
      <c r="F332" s="18">
        <v>801306854</v>
      </c>
      <c r="G332" s="8" t="s">
        <v>58</v>
      </c>
    </row>
    <row r="333" spans="5:7" ht="15.6" x14ac:dyDescent="0.3">
      <c r="E333" t="s">
        <v>151</v>
      </c>
      <c r="F333" s="18">
        <v>801306854</v>
      </c>
      <c r="G333" s="8" t="s">
        <v>59</v>
      </c>
    </row>
    <row r="334" spans="5:7" ht="15.6" x14ac:dyDescent="0.3">
      <c r="E334" t="s">
        <v>150</v>
      </c>
      <c r="F334" s="4">
        <v>801306858</v>
      </c>
      <c r="G334" s="8" t="s">
        <v>50</v>
      </c>
    </row>
    <row r="336" spans="5:7" x14ac:dyDescent="0.3">
      <c r="F336" s="11" t="s">
        <v>163</v>
      </c>
    </row>
    <row r="337" spans="6:7" ht="15.6" x14ac:dyDescent="0.3">
      <c r="F337" s="18">
        <v>801306858</v>
      </c>
      <c r="G337" s="8" t="s">
        <v>128</v>
      </c>
    </row>
    <row r="338" spans="6:7" ht="15.6" x14ac:dyDescent="0.3">
      <c r="F338" s="18">
        <v>801271404</v>
      </c>
      <c r="G338" s="8" t="s">
        <v>21</v>
      </c>
    </row>
    <row r="339" spans="6:7" ht="15.6" x14ac:dyDescent="0.3">
      <c r="F339" s="18">
        <v>801271404</v>
      </c>
      <c r="G339" s="8" t="s">
        <v>41</v>
      </c>
    </row>
    <row r="340" spans="6:7" ht="15.6" x14ac:dyDescent="0.3">
      <c r="F340" s="23"/>
    </row>
    <row r="341" spans="6:7" x14ac:dyDescent="0.3">
      <c r="F341" s="11" t="s">
        <v>164</v>
      </c>
    </row>
    <row r="342" spans="6:7" ht="15.6" x14ac:dyDescent="0.3">
      <c r="F342" s="18">
        <v>801306858</v>
      </c>
      <c r="G342" s="26" t="s">
        <v>98</v>
      </c>
    </row>
    <row r="343" spans="6:7" ht="15.6" x14ac:dyDescent="0.3">
      <c r="F343" s="18">
        <v>801306858</v>
      </c>
      <c r="G343" s="26" t="s">
        <v>99</v>
      </c>
    </row>
    <row r="344" spans="6:7" ht="15.6" x14ac:dyDescent="0.3">
      <c r="F344" s="4">
        <v>801271404</v>
      </c>
      <c r="G344" s="8" t="s">
        <v>57</v>
      </c>
    </row>
    <row r="346" spans="6:7" x14ac:dyDescent="0.3">
      <c r="F346" s="11" t="s">
        <v>165</v>
      </c>
    </row>
    <row r="347" spans="6:7" ht="15.6" x14ac:dyDescent="0.3">
      <c r="F347" s="18">
        <v>801271404</v>
      </c>
      <c r="G347" s="33" t="s">
        <v>101</v>
      </c>
    </row>
    <row r="348" spans="6:7" ht="15.6" x14ac:dyDescent="0.3">
      <c r="F348" s="18">
        <v>801306845</v>
      </c>
      <c r="G348" s="26" t="s">
        <v>14</v>
      </c>
    </row>
    <row r="350" spans="6:7" x14ac:dyDescent="0.3">
      <c r="F350" s="11" t="s">
        <v>166</v>
      </c>
    </row>
    <row r="351" spans="6:7" ht="15.6" x14ac:dyDescent="0.3">
      <c r="F351" s="4">
        <v>801306845</v>
      </c>
      <c r="G351" s="8" t="s">
        <v>66</v>
      </c>
    </row>
    <row r="352" spans="6:7" ht="15.6" x14ac:dyDescent="0.3">
      <c r="F352" s="4">
        <v>801306845</v>
      </c>
      <c r="G352" s="8" t="s">
        <v>67</v>
      </c>
    </row>
    <row r="353" spans="6:7" ht="15.6" x14ac:dyDescent="0.3">
      <c r="F353" s="4">
        <v>801306854</v>
      </c>
      <c r="G353" s="8" t="s">
        <v>91</v>
      </c>
    </row>
    <row r="354" spans="6:7" ht="15.6" x14ac:dyDescent="0.3">
      <c r="F354" s="18">
        <v>801306854</v>
      </c>
      <c r="G354" s="8" t="s">
        <v>93</v>
      </c>
    </row>
    <row r="356" spans="6:7" x14ac:dyDescent="0.3">
      <c r="F356" s="11" t="s">
        <v>167</v>
      </c>
    </row>
    <row r="357" spans="6:7" x14ac:dyDescent="0.3">
      <c r="F357" s="26">
        <v>801306845</v>
      </c>
      <c r="G357" s="26" t="s">
        <v>13</v>
      </c>
    </row>
    <row r="358" spans="6:7" x14ac:dyDescent="0.3">
      <c r="F358" s="8">
        <v>801306845</v>
      </c>
      <c r="G358" s="8" t="s">
        <v>69</v>
      </c>
    </row>
    <row r="359" spans="6:7" x14ac:dyDescent="0.3">
      <c r="F359" s="8">
        <v>801306845</v>
      </c>
      <c r="G359" s="8" t="s">
        <v>70</v>
      </c>
    </row>
    <row r="361" spans="6:7" x14ac:dyDescent="0.3">
      <c r="F361" s="11" t="s">
        <v>168</v>
      </c>
    </row>
    <row r="362" spans="6:7" ht="15.6" x14ac:dyDescent="0.3">
      <c r="F362" s="18">
        <v>801271404</v>
      </c>
      <c r="G362" s="8" t="s">
        <v>17</v>
      </c>
    </row>
    <row r="363" spans="6:7" ht="15.6" x14ac:dyDescent="0.3">
      <c r="F363" s="18">
        <v>801306858</v>
      </c>
      <c r="G363" s="8" t="s">
        <v>18</v>
      </c>
    </row>
    <row r="364" spans="6:7" ht="15.6" x14ac:dyDescent="0.3">
      <c r="F364" s="18">
        <v>801306845</v>
      </c>
      <c r="G364" s="26" t="s">
        <v>16</v>
      </c>
    </row>
    <row r="366" spans="6:7" x14ac:dyDescent="0.3">
      <c r="F366" s="11" t="s">
        <v>169</v>
      </c>
    </row>
    <row r="367" spans="6:7" ht="15.6" x14ac:dyDescent="0.3">
      <c r="F367" s="18">
        <v>801271404</v>
      </c>
      <c r="G367" s="8" t="s">
        <v>21</v>
      </c>
    </row>
    <row r="368" spans="6:7" ht="15.6" x14ac:dyDescent="0.3">
      <c r="F368" s="18">
        <v>801306845</v>
      </c>
      <c r="G368" s="33" t="s">
        <v>124</v>
      </c>
    </row>
    <row r="369" spans="6:7" x14ac:dyDescent="0.3">
      <c r="F369" s="12" t="s">
        <v>170</v>
      </c>
      <c r="G369" t="s">
        <v>171</v>
      </c>
    </row>
    <row r="371" spans="6:7" x14ac:dyDescent="0.3">
      <c r="F371" s="11" t="s">
        <v>172</v>
      </c>
    </row>
    <row r="372" spans="6:7" ht="16.8" x14ac:dyDescent="0.3">
      <c r="F372" s="18">
        <v>801306845</v>
      </c>
      <c r="G372" s="21" t="s">
        <v>32</v>
      </c>
    </row>
    <row r="373" spans="6:7" ht="15.6" x14ac:dyDescent="0.3">
      <c r="F373" s="4">
        <v>801271404</v>
      </c>
      <c r="G373" s="8" t="s">
        <v>57</v>
      </c>
    </row>
    <row r="374" spans="6:7" ht="15.6" x14ac:dyDescent="0.3">
      <c r="F374" s="18">
        <v>801271406</v>
      </c>
      <c r="G374" s="33" t="s">
        <v>102</v>
      </c>
    </row>
    <row r="376" spans="6:7" x14ac:dyDescent="0.3">
      <c r="F376" s="11" t="s">
        <v>173</v>
      </c>
    </row>
    <row r="377" spans="6:7" ht="16.8" x14ac:dyDescent="0.3">
      <c r="F377" s="18">
        <v>801306845</v>
      </c>
      <c r="G377" s="21" t="s">
        <v>109</v>
      </c>
    </row>
    <row r="378" spans="6:7" ht="16.8" x14ac:dyDescent="0.3">
      <c r="F378" s="18">
        <v>801306845</v>
      </c>
      <c r="G378" s="21" t="s">
        <v>34</v>
      </c>
    </row>
    <row r="379" spans="6:7" ht="16.8" x14ac:dyDescent="0.3">
      <c r="F379" s="18">
        <v>801306845</v>
      </c>
      <c r="G379" s="21" t="s">
        <v>174</v>
      </c>
    </row>
    <row r="381" spans="6:7" x14ac:dyDescent="0.3">
      <c r="F381" s="11" t="s">
        <v>175</v>
      </c>
    </row>
    <row r="382" spans="6:7" ht="16.8" x14ac:dyDescent="0.3">
      <c r="F382" s="18">
        <v>801306845</v>
      </c>
      <c r="G382" s="21" t="s">
        <v>176</v>
      </c>
    </row>
    <row r="383" spans="6:7" ht="16.8" x14ac:dyDescent="0.3">
      <c r="F383" s="18">
        <v>801271404</v>
      </c>
      <c r="G383" s="21" t="s">
        <v>177</v>
      </c>
    </row>
    <row r="384" spans="6:7" ht="15.6" x14ac:dyDescent="0.3">
      <c r="F384" s="18">
        <v>801306845</v>
      </c>
      <c r="G384" s="8" t="s">
        <v>36</v>
      </c>
    </row>
    <row r="386" spans="6:7" x14ac:dyDescent="0.3">
      <c r="F386" s="11" t="s">
        <v>178</v>
      </c>
    </row>
    <row r="387" spans="6:7" ht="16.8" x14ac:dyDescent="0.3">
      <c r="F387" s="18" t="s">
        <v>179</v>
      </c>
      <c r="G387" s="21" t="s">
        <v>180</v>
      </c>
    </row>
    <row r="388" spans="6:7" ht="16.8" x14ac:dyDescent="0.3">
      <c r="F388" s="18" t="s">
        <v>179</v>
      </c>
      <c r="G388" s="21" t="s">
        <v>181</v>
      </c>
    </row>
    <row r="390" spans="6:7" x14ac:dyDescent="0.3">
      <c r="F390" s="11" t="s">
        <v>182</v>
      </c>
    </row>
    <row r="391" spans="6:7" ht="16.8" x14ac:dyDescent="0.3">
      <c r="F391" s="18" t="s">
        <v>179</v>
      </c>
      <c r="G391" s="21" t="s">
        <v>183</v>
      </c>
    </row>
    <row r="393" spans="6:7" x14ac:dyDescent="0.3">
      <c r="F393" s="11" t="s">
        <v>184</v>
      </c>
    </row>
    <row r="394" spans="6:7" ht="15.6" x14ac:dyDescent="0.3">
      <c r="F394" s="18">
        <v>801306845</v>
      </c>
      <c r="G394" s="26" t="s">
        <v>121</v>
      </c>
    </row>
    <row r="395" spans="6:7" ht="15.6" x14ac:dyDescent="0.3">
      <c r="F395" s="18">
        <v>801306858</v>
      </c>
      <c r="G395" s="8" t="s">
        <v>39</v>
      </c>
    </row>
  </sheetData>
  <mergeCells count="1">
    <mergeCell ref="F2:G3"/>
  </mergeCells>
  <phoneticPr fontId="7" type="noConversion"/>
  <pageMargins left="0.7" right="0.7" top="0.75" bottom="0.75" header="0.3" footer="0.3"/>
  <pageSetup paperSize="9" orientation="portrait" r:id="rId1"/>
  <headerFooter>
    <oddHeader>&amp;R&amp;"Calibri"&amp;10&amp;K000000Documento: YPF-Privado&amp;1#</oddHeader>
    <oddFooter>&amp;R&amp;1#&amp;"Calibri"&amp;10&amp;K000000Documento: YPF-Privado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D01A-8ACA-4E6F-96B2-E559E0FE88BB}">
  <dimension ref="A1:I40"/>
  <sheetViews>
    <sheetView zoomScale="115" zoomScaleNormal="115" workbookViewId="0">
      <selection activeCell="E10" sqref="E10:E11"/>
    </sheetView>
  </sheetViews>
  <sheetFormatPr baseColWidth="10" defaultColWidth="11.44140625" defaultRowHeight="14.4" x14ac:dyDescent="0.3"/>
  <cols>
    <col min="1" max="1" width="27.88671875" style="37" customWidth="1"/>
    <col min="2" max="2" width="41.5546875" style="17" bestFit="1" customWidth="1"/>
    <col min="3" max="3" width="8.5546875" style="37" customWidth="1"/>
    <col min="4" max="4" width="15.5546875" style="17" customWidth="1"/>
    <col min="5" max="5" width="52.109375" style="118" customWidth="1"/>
    <col min="6" max="6" width="8.5546875" style="32" customWidth="1"/>
    <col min="7" max="7" width="8" style="17" hidden="1" customWidth="1"/>
    <col min="8" max="9" width="8" style="17" customWidth="1"/>
  </cols>
  <sheetData>
    <row r="1" spans="1:9" s="17" customFormat="1" ht="18" x14ac:dyDescent="0.3">
      <c r="A1" s="87" t="s">
        <v>217</v>
      </c>
      <c r="B1" s="88"/>
      <c r="C1" s="88"/>
      <c r="D1" s="88"/>
      <c r="E1" s="104"/>
      <c r="F1" s="104"/>
      <c r="G1" s="88"/>
      <c r="H1" s="88"/>
      <c r="I1" s="88"/>
    </row>
    <row r="2" spans="1:9" s="34" customFormat="1" ht="17.100000000000001" customHeight="1" thickBot="1" x14ac:dyDescent="0.35">
      <c r="A2" s="41" t="s">
        <v>3</v>
      </c>
      <c r="B2" s="39" t="s">
        <v>215</v>
      </c>
      <c r="C2" s="40" t="s">
        <v>214</v>
      </c>
      <c r="D2" s="44" t="s">
        <v>2</v>
      </c>
      <c r="E2" s="116"/>
      <c r="F2" s="42" t="s">
        <v>213</v>
      </c>
      <c r="G2" s="89" t="s">
        <v>293</v>
      </c>
      <c r="H2" s="39" t="s">
        <v>294</v>
      </c>
      <c r="I2" s="39" t="s">
        <v>297</v>
      </c>
    </row>
    <row r="3" spans="1:9" ht="17.100000000000001" customHeight="1" thickBot="1" x14ac:dyDescent="0.35">
      <c r="A3" s="294" t="s">
        <v>218</v>
      </c>
      <c r="B3" s="57" t="s">
        <v>272</v>
      </c>
      <c r="C3" s="58" t="s">
        <v>219</v>
      </c>
      <c r="D3" s="109">
        <v>801306858</v>
      </c>
      <c r="E3" s="117"/>
      <c r="F3" s="105">
        <v>8</v>
      </c>
      <c r="G3" s="90">
        <v>45447</v>
      </c>
      <c r="H3" s="72">
        <v>45483</v>
      </c>
      <c r="I3" s="72">
        <v>45525</v>
      </c>
    </row>
    <row r="4" spans="1:9" ht="17.100000000000001" customHeight="1" thickBot="1" x14ac:dyDescent="0.35">
      <c r="A4" s="294"/>
      <c r="B4" s="56" t="s">
        <v>273</v>
      </c>
      <c r="C4" s="48" t="s">
        <v>295</v>
      </c>
      <c r="D4" s="110" t="s">
        <v>296</v>
      </c>
      <c r="F4" s="32">
        <v>8</v>
      </c>
      <c r="G4" s="91">
        <v>45448</v>
      </c>
      <c r="H4" s="73">
        <v>45484</v>
      </c>
      <c r="I4" s="73">
        <v>45526</v>
      </c>
    </row>
    <row r="5" spans="1:9" ht="17.100000000000001" customHeight="1" x14ac:dyDescent="0.3">
      <c r="A5" s="294"/>
      <c r="B5" s="59" t="s">
        <v>220</v>
      </c>
      <c r="C5" s="63" t="s">
        <v>295</v>
      </c>
      <c r="D5" s="111" t="s">
        <v>296</v>
      </c>
      <c r="E5" s="117"/>
      <c r="F5" s="105">
        <v>4</v>
      </c>
      <c r="G5" s="303">
        <v>45449</v>
      </c>
      <c r="H5" s="74">
        <v>45485</v>
      </c>
      <c r="I5" s="74">
        <v>45527</v>
      </c>
    </row>
    <row r="6" spans="1:9" ht="17.100000000000001" customHeight="1" thickBot="1" x14ac:dyDescent="0.35">
      <c r="A6" s="294"/>
      <c r="B6" s="60" t="s">
        <v>221</v>
      </c>
      <c r="C6" s="62" t="s">
        <v>295</v>
      </c>
      <c r="D6" s="108" t="s">
        <v>296</v>
      </c>
      <c r="E6" s="117"/>
      <c r="F6" s="105">
        <v>4</v>
      </c>
      <c r="G6" s="305"/>
      <c r="H6" s="75">
        <v>45485</v>
      </c>
      <c r="I6" s="75">
        <v>45527</v>
      </c>
    </row>
    <row r="7" spans="1:9" ht="17.100000000000001" customHeight="1" x14ac:dyDescent="0.3">
      <c r="A7" s="294" t="s">
        <v>253</v>
      </c>
      <c r="B7" s="50" t="s">
        <v>222</v>
      </c>
      <c r="C7" s="298" t="s">
        <v>219</v>
      </c>
      <c r="D7" s="308">
        <v>801306858</v>
      </c>
      <c r="F7" s="32">
        <v>4</v>
      </c>
      <c r="G7" s="306">
        <v>45450</v>
      </c>
      <c r="H7" s="76">
        <v>45488</v>
      </c>
      <c r="I7" s="76">
        <v>45531</v>
      </c>
    </row>
    <row r="8" spans="1:9" ht="17.100000000000001" customHeight="1" thickBot="1" x14ac:dyDescent="0.35">
      <c r="A8" s="294"/>
      <c r="B8" s="51" t="s">
        <v>223</v>
      </c>
      <c r="C8" s="299"/>
      <c r="D8" s="309"/>
      <c r="F8" s="32">
        <v>4</v>
      </c>
      <c r="G8" s="307"/>
      <c r="H8" s="77">
        <v>45488</v>
      </c>
      <c r="I8" s="77">
        <v>45531</v>
      </c>
    </row>
    <row r="9" spans="1:9" ht="17.100000000000001" customHeight="1" x14ac:dyDescent="0.3">
      <c r="A9" s="294" t="s">
        <v>224</v>
      </c>
      <c r="B9" s="59" t="s">
        <v>222</v>
      </c>
      <c r="C9" s="295" t="s">
        <v>219</v>
      </c>
      <c r="D9" s="310">
        <v>801306858</v>
      </c>
      <c r="E9" s="117"/>
      <c r="F9" s="105">
        <v>4</v>
      </c>
      <c r="G9" s="92">
        <v>45453</v>
      </c>
      <c r="H9" s="74">
        <v>45489</v>
      </c>
      <c r="I9" s="74">
        <v>45532</v>
      </c>
    </row>
    <row r="10" spans="1:9" ht="17.100000000000001" customHeight="1" thickBot="1" x14ac:dyDescent="0.35">
      <c r="A10" s="294"/>
      <c r="B10" s="60" t="s">
        <v>223</v>
      </c>
      <c r="C10" s="296"/>
      <c r="D10" s="311"/>
      <c r="E10" s="117"/>
      <c r="F10" s="105">
        <v>4</v>
      </c>
      <c r="G10" s="93">
        <v>45453</v>
      </c>
      <c r="H10" s="75">
        <v>45489</v>
      </c>
      <c r="I10" s="75">
        <v>45532</v>
      </c>
    </row>
    <row r="11" spans="1:9" ht="17.100000000000001" customHeight="1" thickBot="1" x14ac:dyDescent="0.35">
      <c r="A11" s="294" t="s">
        <v>225</v>
      </c>
      <c r="B11" s="56" t="s">
        <v>226</v>
      </c>
      <c r="C11" s="48" t="s">
        <v>280</v>
      </c>
      <c r="D11" s="110" t="s">
        <v>280</v>
      </c>
      <c r="F11" s="32">
        <v>8</v>
      </c>
      <c r="G11" s="91">
        <v>45454</v>
      </c>
      <c r="H11" s="73">
        <v>45490</v>
      </c>
      <c r="I11" s="73">
        <v>45533</v>
      </c>
    </row>
    <row r="12" spans="1:9" ht="17.100000000000001" customHeight="1" thickBot="1" x14ac:dyDescent="0.35">
      <c r="A12" s="294"/>
      <c r="B12" s="57" t="s">
        <v>227</v>
      </c>
      <c r="C12" s="61" t="s">
        <v>280</v>
      </c>
      <c r="D12" s="109" t="s">
        <v>280</v>
      </c>
      <c r="E12" s="117"/>
      <c r="F12" s="105">
        <v>8</v>
      </c>
      <c r="G12" s="90">
        <v>45455</v>
      </c>
      <c r="H12" s="72">
        <v>45491</v>
      </c>
      <c r="I12" s="72">
        <v>45534</v>
      </c>
    </row>
    <row r="13" spans="1:9" ht="17.100000000000001" customHeight="1" thickBot="1" x14ac:dyDescent="0.35">
      <c r="A13" s="49" t="s">
        <v>275</v>
      </c>
      <c r="B13" s="50" t="s">
        <v>228</v>
      </c>
      <c r="C13" s="55" t="s">
        <v>278</v>
      </c>
      <c r="D13" s="85">
        <v>801306845</v>
      </c>
      <c r="E13" s="115" t="s">
        <v>304</v>
      </c>
      <c r="F13" s="32">
        <v>4</v>
      </c>
      <c r="G13" s="94">
        <v>45456</v>
      </c>
      <c r="H13" s="69">
        <v>45495</v>
      </c>
      <c r="I13" s="69">
        <v>45537</v>
      </c>
    </row>
    <row r="14" spans="1:9" s="38" customFormat="1" ht="17.100000000000001" customHeight="1" thickBot="1" x14ac:dyDescent="0.35">
      <c r="A14" s="49" t="s">
        <v>276</v>
      </c>
      <c r="B14" s="51" t="s">
        <v>234</v>
      </c>
      <c r="C14" s="47" t="s">
        <v>277</v>
      </c>
      <c r="D14" s="112">
        <v>801306854</v>
      </c>
      <c r="E14" s="115" t="s">
        <v>94</v>
      </c>
      <c r="F14" s="32">
        <v>4</v>
      </c>
      <c r="G14" s="95"/>
      <c r="H14" s="84">
        <v>45496</v>
      </c>
      <c r="I14" s="84">
        <v>45537</v>
      </c>
    </row>
    <row r="15" spans="1:9" ht="17.100000000000001" customHeight="1" x14ac:dyDescent="0.3">
      <c r="A15" s="49" t="s">
        <v>229</v>
      </c>
      <c r="B15" s="59" t="s">
        <v>230</v>
      </c>
      <c r="C15" s="314" t="s">
        <v>231</v>
      </c>
      <c r="D15" s="107">
        <v>801306854</v>
      </c>
      <c r="E15" s="118" t="s">
        <v>305</v>
      </c>
      <c r="F15" s="105">
        <v>4</v>
      </c>
      <c r="G15" s="303">
        <v>45457</v>
      </c>
      <c r="H15" s="78">
        <v>45498</v>
      </c>
      <c r="I15" s="78">
        <v>45538</v>
      </c>
    </row>
    <row r="16" spans="1:9" ht="17.100000000000001" customHeight="1" thickBot="1" x14ac:dyDescent="0.35">
      <c r="A16" s="49" t="s">
        <v>232</v>
      </c>
      <c r="B16" s="60" t="s">
        <v>233</v>
      </c>
      <c r="C16" s="315"/>
      <c r="D16" s="108">
        <v>801306854</v>
      </c>
      <c r="E16" s="118" t="s">
        <v>93</v>
      </c>
      <c r="F16" s="105">
        <v>4</v>
      </c>
      <c r="G16" s="304"/>
      <c r="H16" s="75">
        <v>45498</v>
      </c>
      <c r="I16" s="75">
        <v>45538</v>
      </c>
    </row>
    <row r="17" spans="1:9" ht="17.100000000000001" customHeight="1" x14ac:dyDescent="0.3">
      <c r="A17" s="294" t="s">
        <v>235</v>
      </c>
      <c r="B17" s="50" t="s">
        <v>222</v>
      </c>
      <c r="C17" s="298" t="s">
        <v>219</v>
      </c>
      <c r="D17" s="85"/>
      <c r="E17" s="288" t="s">
        <v>306</v>
      </c>
      <c r="F17" s="32">
        <v>4</v>
      </c>
      <c r="G17" s="94">
        <v>45467</v>
      </c>
      <c r="H17" s="69">
        <v>45504</v>
      </c>
      <c r="I17" s="69">
        <v>45539</v>
      </c>
    </row>
    <row r="18" spans="1:9" ht="17.100000000000001" customHeight="1" thickBot="1" x14ac:dyDescent="0.35">
      <c r="A18" s="294"/>
      <c r="B18" s="51" t="s">
        <v>236</v>
      </c>
      <c r="C18" s="272"/>
      <c r="D18" s="113"/>
      <c r="E18" s="290"/>
      <c r="F18" s="32">
        <v>4</v>
      </c>
      <c r="G18" s="96">
        <v>45467</v>
      </c>
      <c r="H18" s="71">
        <v>45504</v>
      </c>
      <c r="I18" s="71">
        <v>45539</v>
      </c>
    </row>
    <row r="19" spans="1:9" ht="17.100000000000001" customHeight="1" x14ac:dyDescent="0.3">
      <c r="A19" s="294"/>
      <c r="B19" s="59" t="s">
        <v>237</v>
      </c>
      <c r="C19" s="272"/>
      <c r="D19" s="111"/>
      <c r="E19" s="288" t="s">
        <v>307</v>
      </c>
      <c r="F19" s="105">
        <v>4</v>
      </c>
      <c r="G19" s="92">
        <v>45468</v>
      </c>
      <c r="H19" s="79">
        <v>45504</v>
      </c>
      <c r="I19" s="79">
        <v>45540</v>
      </c>
    </row>
    <row r="20" spans="1:9" ht="17.100000000000001" customHeight="1" thickBot="1" x14ac:dyDescent="0.35">
      <c r="A20" s="294"/>
      <c r="B20" s="60" t="s">
        <v>252</v>
      </c>
      <c r="C20" s="299"/>
      <c r="D20" s="108"/>
      <c r="E20" s="290"/>
      <c r="F20" s="105">
        <v>4</v>
      </c>
      <c r="G20" s="93">
        <v>45468</v>
      </c>
      <c r="H20" s="80">
        <v>45504</v>
      </c>
      <c r="I20" s="80">
        <v>45540</v>
      </c>
    </row>
    <row r="21" spans="1:9" ht="17.100000000000001" customHeight="1" x14ac:dyDescent="0.3">
      <c r="A21" s="297" t="s">
        <v>238</v>
      </c>
      <c r="B21" s="53" t="s">
        <v>188</v>
      </c>
      <c r="C21" s="298" t="s">
        <v>279</v>
      </c>
      <c r="D21" s="53"/>
      <c r="E21" s="288" t="s">
        <v>308</v>
      </c>
      <c r="F21" s="32">
        <v>2</v>
      </c>
      <c r="G21" s="97">
        <v>45467</v>
      </c>
      <c r="H21" s="45">
        <v>45504</v>
      </c>
      <c r="I21" s="45">
        <v>45540</v>
      </c>
    </row>
    <row r="22" spans="1:9" ht="17.100000000000001" customHeight="1" thickBot="1" x14ac:dyDescent="0.35">
      <c r="A22" s="297"/>
      <c r="B22" s="54" t="s">
        <v>222</v>
      </c>
      <c r="C22" s="299"/>
      <c r="D22" s="54"/>
      <c r="E22" s="290"/>
      <c r="F22" s="32">
        <v>4</v>
      </c>
      <c r="G22" s="98">
        <v>45468</v>
      </c>
      <c r="H22" s="46">
        <v>45504</v>
      </c>
      <c r="I22" s="46">
        <v>45540</v>
      </c>
    </row>
    <row r="23" spans="1:9" ht="17.100000000000001" customHeight="1" x14ac:dyDescent="0.3">
      <c r="A23" s="294" t="s">
        <v>239</v>
      </c>
      <c r="B23" s="59" t="s">
        <v>240</v>
      </c>
      <c r="C23" s="295" t="s">
        <v>279</v>
      </c>
      <c r="D23" s="283">
        <v>801306845</v>
      </c>
      <c r="E23" s="312" t="s">
        <v>313</v>
      </c>
      <c r="F23" s="105">
        <v>4</v>
      </c>
      <c r="G23" s="92">
        <v>45470</v>
      </c>
      <c r="H23" s="79">
        <v>45505</v>
      </c>
      <c r="I23" s="79">
        <v>45541</v>
      </c>
    </row>
    <row r="24" spans="1:9" ht="17.100000000000001" customHeight="1" thickBot="1" x14ac:dyDescent="0.35">
      <c r="A24" s="294"/>
      <c r="B24" s="60" t="s">
        <v>241</v>
      </c>
      <c r="C24" s="296"/>
      <c r="D24" s="284"/>
      <c r="E24" s="313"/>
      <c r="F24" s="105">
        <v>4</v>
      </c>
      <c r="G24" s="93">
        <v>45470</v>
      </c>
      <c r="H24" s="80">
        <v>45505</v>
      </c>
      <c r="I24" s="80">
        <v>45541</v>
      </c>
    </row>
    <row r="25" spans="1:9" ht="17.100000000000001" customHeight="1" x14ac:dyDescent="0.3">
      <c r="A25" s="294" t="s">
        <v>254</v>
      </c>
      <c r="B25" s="50" t="s">
        <v>242</v>
      </c>
      <c r="C25" s="298" t="s">
        <v>279</v>
      </c>
      <c r="D25" s="277">
        <v>801306845</v>
      </c>
      <c r="E25" s="288" t="s">
        <v>316</v>
      </c>
      <c r="F25" s="32">
        <v>4</v>
      </c>
      <c r="G25" s="94">
        <v>45471</v>
      </c>
      <c r="H25" s="69">
        <v>45506</v>
      </c>
      <c r="I25" s="69">
        <v>45544</v>
      </c>
    </row>
    <row r="26" spans="1:9" ht="17.100000000000001" customHeight="1" x14ac:dyDescent="0.3">
      <c r="A26" s="294"/>
      <c r="B26" s="52" t="s">
        <v>241</v>
      </c>
      <c r="C26" s="272"/>
      <c r="D26" s="278"/>
      <c r="E26" s="289"/>
      <c r="F26" s="32">
        <v>3</v>
      </c>
      <c r="G26" s="99">
        <v>45471</v>
      </c>
      <c r="H26" s="70">
        <v>45506</v>
      </c>
      <c r="I26" s="70">
        <v>45544</v>
      </c>
    </row>
    <row r="27" spans="1:9" ht="17.100000000000001" customHeight="1" thickBot="1" x14ac:dyDescent="0.35">
      <c r="A27" s="294"/>
      <c r="B27" s="51" t="s">
        <v>243</v>
      </c>
      <c r="C27" s="299"/>
      <c r="D27" s="279"/>
      <c r="E27" s="290"/>
      <c r="F27" s="32">
        <v>1</v>
      </c>
      <c r="G27" s="96">
        <v>45471</v>
      </c>
      <c r="H27" s="71">
        <v>45506</v>
      </c>
      <c r="I27" s="71">
        <v>45544</v>
      </c>
    </row>
    <row r="28" spans="1:9" ht="17.100000000000001" customHeight="1" x14ac:dyDescent="0.3">
      <c r="A28" s="294" t="s">
        <v>255</v>
      </c>
      <c r="B28" s="64" t="s">
        <v>242</v>
      </c>
      <c r="C28" s="300" t="s">
        <v>279</v>
      </c>
      <c r="D28" s="285">
        <v>801306845</v>
      </c>
      <c r="E28" s="291" t="s">
        <v>317</v>
      </c>
      <c r="F28" s="106">
        <v>2</v>
      </c>
      <c r="G28" s="100">
        <v>45476</v>
      </c>
      <c r="H28" s="81">
        <v>45511</v>
      </c>
      <c r="I28" s="81">
        <v>45545</v>
      </c>
    </row>
    <row r="29" spans="1:9" ht="17.100000000000001" customHeight="1" x14ac:dyDescent="0.3">
      <c r="A29" s="294"/>
      <c r="B29" s="65" t="s">
        <v>244</v>
      </c>
      <c r="C29" s="301"/>
      <c r="D29" s="286"/>
      <c r="E29" s="292"/>
      <c r="F29" s="106">
        <v>3</v>
      </c>
      <c r="G29" s="101">
        <v>45476</v>
      </c>
      <c r="H29" s="82">
        <v>45511</v>
      </c>
      <c r="I29" s="82">
        <v>45545</v>
      </c>
    </row>
    <row r="30" spans="1:9" ht="17.100000000000001" customHeight="1" thickBot="1" x14ac:dyDescent="0.35">
      <c r="A30" s="294"/>
      <c r="B30" s="66" t="s">
        <v>245</v>
      </c>
      <c r="C30" s="301"/>
      <c r="D30" s="286"/>
      <c r="E30" s="293"/>
      <c r="F30" s="106">
        <v>1</v>
      </c>
      <c r="G30" s="102">
        <v>45476</v>
      </c>
      <c r="H30" s="83">
        <v>45511</v>
      </c>
      <c r="I30" s="83">
        <v>45545</v>
      </c>
    </row>
    <row r="31" spans="1:9" ht="30" customHeight="1" thickBot="1" x14ac:dyDescent="0.35">
      <c r="A31" s="43" t="s">
        <v>246</v>
      </c>
      <c r="B31" s="67" t="s">
        <v>242</v>
      </c>
      <c r="C31" s="302"/>
      <c r="D31" s="287"/>
      <c r="E31" s="119" t="s">
        <v>318</v>
      </c>
      <c r="F31" s="106">
        <v>2</v>
      </c>
      <c r="G31" s="103">
        <v>45476</v>
      </c>
      <c r="H31" s="68">
        <v>45511</v>
      </c>
      <c r="I31" s="68">
        <v>45545</v>
      </c>
    </row>
    <row r="32" spans="1:9" ht="17.100000000000001" customHeight="1" x14ac:dyDescent="0.3">
      <c r="A32" s="294" t="s">
        <v>256</v>
      </c>
      <c r="B32" s="50" t="s">
        <v>242</v>
      </c>
      <c r="C32" s="298" t="s">
        <v>279</v>
      </c>
      <c r="D32" s="277">
        <v>801306845</v>
      </c>
      <c r="E32" s="280" t="s">
        <v>322</v>
      </c>
      <c r="F32" s="32">
        <v>4</v>
      </c>
      <c r="G32" s="94">
        <v>45477</v>
      </c>
      <c r="H32" s="86">
        <v>45510</v>
      </c>
      <c r="I32" s="86">
        <v>45546</v>
      </c>
    </row>
    <row r="33" spans="1:9" ht="17.100000000000001" customHeight="1" x14ac:dyDescent="0.3">
      <c r="A33" s="294"/>
      <c r="B33" s="52" t="s">
        <v>244</v>
      </c>
      <c r="C33" s="272"/>
      <c r="D33" s="278"/>
      <c r="E33" s="281"/>
      <c r="F33" s="32">
        <v>3</v>
      </c>
      <c r="G33" s="99">
        <v>45477</v>
      </c>
      <c r="H33" s="86">
        <v>45510</v>
      </c>
      <c r="I33" s="86">
        <v>45546</v>
      </c>
    </row>
    <row r="34" spans="1:9" ht="17.100000000000001" customHeight="1" thickBot="1" x14ac:dyDescent="0.35">
      <c r="A34" s="294"/>
      <c r="B34" s="51" t="s">
        <v>245</v>
      </c>
      <c r="C34" s="299"/>
      <c r="D34" s="279"/>
      <c r="E34" s="282"/>
      <c r="F34" s="32">
        <v>1</v>
      </c>
      <c r="G34" s="96">
        <v>45477</v>
      </c>
      <c r="H34" s="86">
        <v>45510</v>
      </c>
      <c r="I34" s="86">
        <v>45546</v>
      </c>
    </row>
    <row r="35" spans="1:9" ht="17.100000000000001" customHeight="1" x14ac:dyDescent="0.3">
      <c r="A35" s="294" t="s">
        <v>247</v>
      </c>
      <c r="B35" s="64" t="s">
        <v>248</v>
      </c>
      <c r="C35" s="300" t="s">
        <v>279</v>
      </c>
      <c r="D35" s="277">
        <v>801306845</v>
      </c>
      <c r="E35" s="280" t="s">
        <v>325</v>
      </c>
      <c r="F35" s="106">
        <v>3</v>
      </c>
      <c r="G35" s="100">
        <v>45478</v>
      </c>
      <c r="H35" s="81">
        <v>45512</v>
      </c>
      <c r="I35" s="81">
        <v>45547</v>
      </c>
    </row>
    <row r="36" spans="1:9" ht="17.100000000000001" customHeight="1" x14ac:dyDescent="0.3">
      <c r="A36" s="294"/>
      <c r="B36" s="65" t="s">
        <v>251</v>
      </c>
      <c r="C36" s="301"/>
      <c r="D36" s="278"/>
      <c r="E36" s="281"/>
      <c r="F36" s="106">
        <v>3</v>
      </c>
      <c r="G36" s="101">
        <v>45478</v>
      </c>
      <c r="H36" s="82">
        <v>45512</v>
      </c>
      <c r="I36" s="82">
        <v>45547</v>
      </c>
    </row>
    <row r="37" spans="1:9" ht="17.100000000000001" customHeight="1" thickBot="1" x14ac:dyDescent="0.35">
      <c r="A37" s="294"/>
      <c r="B37" s="66" t="s">
        <v>249</v>
      </c>
      <c r="C37" s="302"/>
      <c r="D37" s="279"/>
      <c r="E37" s="282"/>
      <c r="F37" s="106">
        <v>2</v>
      </c>
      <c r="G37" s="102">
        <v>45478</v>
      </c>
      <c r="H37" s="83">
        <v>45512</v>
      </c>
      <c r="I37" s="83">
        <v>45547</v>
      </c>
    </row>
    <row r="38" spans="1:9" ht="17.100000000000001" customHeight="1" x14ac:dyDescent="0.3">
      <c r="A38" s="294" t="s">
        <v>250</v>
      </c>
      <c r="B38" s="50" t="s">
        <v>242</v>
      </c>
      <c r="C38" s="298" t="s">
        <v>279</v>
      </c>
      <c r="D38" s="277">
        <v>801306845</v>
      </c>
      <c r="E38" s="270" t="s">
        <v>326</v>
      </c>
      <c r="F38" s="32">
        <v>4</v>
      </c>
      <c r="G38" s="94">
        <v>45481</v>
      </c>
      <c r="H38" s="69">
        <v>45513</v>
      </c>
      <c r="I38" s="69">
        <v>45548</v>
      </c>
    </row>
    <row r="39" spans="1:9" ht="17.100000000000001" customHeight="1" x14ac:dyDescent="0.3">
      <c r="A39" s="294"/>
      <c r="B39" s="52" t="s">
        <v>244</v>
      </c>
      <c r="C39" s="272"/>
      <c r="D39" s="278"/>
      <c r="E39" s="272"/>
      <c r="F39" s="32">
        <v>3</v>
      </c>
      <c r="G39" s="99">
        <v>45481</v>
      </c>
      <c r="H39" s="70">
        <v>45513</v>
      </c>
      <c r="I39" s="70">
        <v>45548</v>
      </c>
    </row>
    <row r="40" spans="1:9" ht="17.100000000000001" customHeight="1" thickBot="1" x14ac:dyDescent="0.35">
      <c r="A40" s="294"/>
      <c r="B40" s="51" t="s">
        <v>245</v>
      </c>
      <c r="C40" s="299"/>
      <c r="D40" s="279"/>
      <c r="E40" s="271"/>
      <c r="F40" s="32">
        <v>1</v>
      </c>
      <c r="G40" s="96">
        <v>45481</v>
      </c>
      <c r="H40" s="71">
        <v>45513</v>
      </c>
      <c r="I40" s="71">
        <v>45548</v>
      </c>
    </row>
  </sheetData>
  <autoFilter ref="A2:J40" xr:uid="{652AD01A-8ACA-4E6F-96B2-E559E0FE88BB}"/>
  <mergeCells count="43">
    <mergeCell ref="A17:A20"/>
    <mergeCell ref="E23:E24"/>
    <mergeCell ref="A3:A6"/>
    <mergeCell ref="A7:A8"/>
    <mergeCell ref="A9:A10"/>
    <mergeCell ref="A11:A12"/>
    <mergeCell ref="C15:C16"/>
    <mergeCell ref="G5:G6"/>
    <mergeCell ref="G7:G8"/>
    <mergeCell ref="D7:D8"/>
    <mergeCell ref="D9:D10"/>
    <mergeCell ref="C7:C8"/>
    <mergeCell ref="C9:C10"/>
    <mergeCell ref="G15:G16"/>
    <mergeCell ref="C17:C20"/>
    <mergeCell ref="E17:E18"/>
    <mergeCell ref="E19:E20"/>
    <mergeCell ref="E21:E22"/>
    <mergeCell ref="A32:A34"/>
    <mergeCell ref="A35:A37"/>
    <mergeCell ref="A38:A40"/>
    <mergeCell ref="C23:C24"/>
    <mergeCell ref="A21:A22"/>
    <mergeCell ref="C21:C22"/>
    <mergeCell ref="A23:A24"/>
    <mergeCell ref="A25:A27"/>
    <mergeCell ref="A28:A30"/>
    <mergeCell ref="C25:C27"/>
    <mergeCell ref="C32:C34"/>
    <mergeCell ref="C35:C37"/>
    <mergeCell ref="C38:C40"/>
    <mergeCell ref="C28:C31"/>
    <mergeCell ref="D38:D40"/>
    <mergeCell ref="E38:E40"/>
    <mergeCell ref="E32:E34"/>
    <mergeCell ref="E35:E37"/>
    <mergeCell ref="D23:D24"/>
    <mergeCell ref="D25:D27"/>
    <mergeCell ref="D28:D31"/>
    <mergeCell ref="D35:D37"/>
    <mergeCell ref="D32:D34"/>
    <mergeCell ref="E25:E27"/>
    <mergeCell ref="E28:E30"/>
  </mergeCells>
  <phoneticPr fontId="7" type="noConversion"/>
  <pageMargins left="0.7" right="0.7" top="0.75" bottom="0.75" header="0.3" footer="0.3"/>
  <pageSetup paperSize="9" scale="73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6F4B-A261-4242-8856-5B72DB936B9C}">
  <dimension ref="A1:K58"/>
  <sheetViews>
    <sheetView zoomScaleNormal="100" workbookViewId="0">
      <pane xSplit="1" ySplit="2" topLeftCell="C44" activePane="bottomRight" state="frozen"/>
      <selection activeCell="E10" sqref="E10"/>
      <selection pane="topRight" activeCell="E10" sqref="E10"/>
      <selection pane="bottomLeft" activeCell="E10" sqref="E10"/>
      <selection pane="bottomRight" activeCell="E10" sqref="E10:E11"/>
    </sheetView>
  </sheetViews>
  <sheetFormatPr baseColWidth="10" defaultColWidth="11.44140625" defaultRowHeight="14.4" x14ac:dyDescent="0.3"/>
  <cols>
    <col min="1" max="1" width="27.44140625" style="37" customWidth="1"/>
    <col min="2" max="2" width="41.5546875" style="17" hidden="1" customWidth="1"/>
    <col min="3" max="3" width="12.88671875" style="17" customWidth="1"/>
    <col min="4" max="4" width="70.88671875" style="37" customWidth="1"/>
    <col min="5" max="5" width="13" style="37" customWidth="1"/>
    <col min="6" max="6" width="4.5546875" style="17" customWidth="1"/>
    <col min="7" max="7" width="9.109375" style="17" customWidth="1"/>
    <col min="8" max="8" width="8.5546875" style="17" customWidth="1"/>
    <col min="9" max="9" width="9.109375" style="17" hidden="1" customWidth="1"/>
    <col min="10" max="10" width="9.109375" style="17" customWidth="1"/>
    <col min="11" max="11" width="12.88671875" style="17" customWidth="1"/>
    <col min="12" max="16384" width="11.44140625" style="17"/>
  </cols>
  <sheetData>
    <row r="1" spans="1:11" x14ac:dyDescent="0.3">
      <c r="A1" s="173" t="s">
        <v>216</v>
      </c>
      <c r="B1" s="174"/>
      <c r="C1" s="174"/>
      <c r="D1" s="180"/>
      <c r="E1" s="174"/>
      <c r="F1" s="174"/>
      <c r="G1" s="174"/>
      <c r="H1" s="174"/>
      <c r="I1" s="174"/>
      <c r="J1" s="174"/>
      <c r="K1" s="174"/>
    </row>
    <row r="2" spans="1:11" s="34" customFormat="1" ht="29.4" thickBot="1" x14ac:dyDescent="0.35">
      <c r="A2" s="114" t="s">
        <v>3</v>
      </c>
      <c r="B2" s="39" t="s">
        <v>215</v>
      </c>
      <c r="C2" s="44" t="s">
        <v>2</v>
      </c>
      <c r="D2" s="40" t="s">
        <v>215</v>
      </c>
      <c r="E2" s="40" t="s">
        <v>214</v>
      </c>
      <c r="F2" s="39" t="s">
        <v>213</v>
      </c>
      <c r="G2" s="39" t="s">
        <v>293</v>
      </c>
      <c r="H2" s="44" t="s">
        <v>294</v>
      </c>
      <c r="I2" s="44" t="s">
        <v>297</v>
      </c>
      <c r="J2" s="44" t="s">
        <v>298</v>
      </c>
      <c r="K2" s="44"/>
    </row>
    <row r="3" spans="1:11" ht="16.2" thickBot="1" x14ac:dyDescent="0.35">
      <c r="A3" s="321" t="s">
        <v>4</v>
      </c>
      <c r="B3" s="123" t="s">
        <v>274</v>
      </c>
      <c r="C3" s="18">
        <v>801306854</v>
      </c>
      <c r="D3" s="121"/>
      <c r="E3" s="124" t="s">
        <v>269</v>
      </c>
      <c r="F3" s="123">
        <v>4</v>
      </c>
      <c r="G3" s="125">
        <v>45448</v>
      </c>
      <c r="H3" s="126">
        <v>45484</v>
      </c>
      <c r="I3" s="126">
        <v>45524</v>
      </c>
      <c r="J3" s="126"/>
      <c r="K3" s="18"/>
    </row>
    <row r="4" spans="1:11" ht="29.1" customHeight="1" thickBot="1" x14ac:dyDescent="0.35">
      <c r="A4" s="335"/>
      <c r="B4" s="124" t="s">
        <v>212</v>
      </c>
      <c r="C4" s="18" t="s">
        <v>281</v>
      </c>
      <c r="D4" s="121"/>
      <c r="E4" s="124" t="s">
        <v>281</v>
      </c>
      <c r="F4" s="124">
        <v>4</v>
      </c>
      <c r="G4" s="128">
        <v>45448</v>
      </c>
      <c r="H4" s="129">
        <v>45484</v>
      </c>
      <c r="I4" s="129">
        <v>45524</v>
      </c>
      <c r="J4" s="129"/>
      <c r="K4" s="18"/>
    </row>
    <row r="5" spans="1:11" ht="29.1" customHeight="1" x14ac:dyDescent="0.3">
      <c r="A5" s="122" t="s">
        <v>211</v>
      </c>
      <c r="B5" s="123" t="s">
        <v>330</v>
      </c>
      <c r="C5" s="130">
        <v>801306854</v>
      </c>
      <c r="D5" s="181"/>
      <c r="E5" s="123" t="s">
        <v>269</v>
      </c>
      <c r="F5" s="123">
        <v>2</v>
      </c>
      <c r="G5" s="125">
        <v>45449</v>
      </c>
      <c r="H5" s="131">
        <v>45485</v>
      </c>
      <c r="I5" s="131">
        <v>45525</v>
      </c>
      <c r="J5" s="131"/>
      <c r="K5" s="130"/>
    </row>
    <row r="6" spans="1:11" ht="15.6" x14ac:dyDescent="0.3">
      <c r="A6" s="132" t="s">
        <v>257</v>
      </c>
      <c r="B6" s="16" t="s">
        <v>188</v>
      </c>
      <c r="C6" s="133">
        <v>801306854</v>
      </c>
      <c r="D6" s="182"/>
      <c r="E6" s="316" t="s">
        <v>269</v>
      </c>
      <c r="F6" s="16">
        <v>2</v>
      </c>
      <c r="G6" s="136">
        <v>45449</v>
      </c>
      <c r="H6" s="137">
        <v>45485</v>
      </c>
      <c r="I6" s="137">
        <v>45525</v>
      </c>
      <c r="J6" s="137"/>
      <c r="K6" s="133"/>
    </row>
    <row r="7" spans="1:11" ht="15.6" x14ac:dyDescent="0.3">
      <c r="A7" s="336" t="s">
        <v>210</v>
      </c>
      <c r="B7" s="16" t="s">
        <v>209</v>
      </c>
      <c r="C7" s="133">
        <v>801306854</v>
      </c>
      <c r="D7" s="183"/>
      <c r="E7" s="317"/>
      <c r="F7" s="16">
        <v>2</v>
      </c>
      <c r="G7" s="136">
        <v>45449</v>
      </c>
      <c r="H7" s="137">
        <v>45485</v>
      </c>
      <c r="I7" s="137">
        <v>45525</v>
      </c>
      <c r="J7" s="137"/>
      <c r="K7" s="133"/>
    </row>
    <row r="8" spans="1:11" ht="16.2" thickBot="1" x14ac:dyDescent="0.35">
      <c r="A8" s="337"/>
      <c r="B8" s="124" t="s">
        <v>208</v>
      </c>
      <c r="C8" s="139">
        <v>801306854</v>
      </c>
      <c r="D8" s="184"/>
      <c r="E8" s="319"/>
      <c r="F8" s="124">
        <v>2</v>
      </c>
      <c r="G8" s="128">
        <v>45449</v>
      </c>
      <c r="H8" s="141">
        <v>45485</v>
      </c>
      <c r="I8" s="141">
        <v>45525</v>
      </c>
      <c r="J8" s="141"/>
      <c r="K8" s="139"/>
    </row>
    <row r="9" spans="1:11" ht="31.8" thickBot="1" x14ac:dyDescent="0.35">
      <c r="A9" s="142" t="s">
        <v>207</v>
      </c>
      <c r="B9" s="143" t="s">
        <v>207</v>
      </c>
      <c r="C9" s="139">
        <v>801306854</v>
      </c>
      <c r="D9" s="184"/>
      <c r="E9" s="144" t="s">
        <v>269</v>
      </c>
      <c r="F9" s="144">
        <v>8</v>
      </c>
      <c r="G9" s="145">
        <v>45450</v>
      </c>
      <c r="H9" s="146">
        <v>45488</v>
      </c>
      <c r="I9" s="146">
        <v>45526</v>
      </c>
      <c r="J9" s="146"/>
      <c r="K9" s="139"/>
    </row>
    <row r="10" spans="1:11" ht="15.6" x14ac:dyDescent="0.3">
      <c r="A10" s="323" t="s">
        <v>258</v>
      </c>
      <c r="B10" s="123" t="s">
        <v>188</v>
      </c>
      <c r="C10" s="318">
        <v>801306854</v>
      </c>
      <c r="D10" s="158"/>
      <c r="E10" s="318" t="s">
        <v>269</v>
      </c>
      <c r="F10" s="123">
        <v>2</v>
      </c>
      <c r="G10" s="126">
        <v>45455</v>
      </c>
      <c r="H10" s="148">
        <v>45489</v>
      </c>
      <c r="I10" s="148">
        <v>45527</v>
      </c>
      <c r="J10" s="148"/>
      <c r="K10" s="318"/>
    </row>
    <row r="11" spans="1:11" ht="15.6" x14ac:dyDescent="0.3">
      <c r="A11" s="324"/>
      <c r="B11" s="16" t="s">
        <v>186</v>
      </c>
      <c r="C11" s="320"/>
      <c r="D11" s="179"/>
      <c r="E11" s="320"/>
      <c r="F11" s="16">
        <v>2</v>
      </c>
      <c r="G11" s="136">
        <v>45455</v>
      </c>
      <c r="H11" s="126">
        <v>45489</v>
      </c>
      <c r="I11" s="126">
        <v>45527</v>
      </c>
      <c r="J11" s="126"/>
      <c r="K11" s="320"/>
    </row>
    <row r="12" spans="1:11" ht="15.6" x14ac:dyDescent="0.3">
      <c r="A12" s="327" t="s">
        <v>259</v>
      </c>
      <c r="B12" s="150" t="s">
        <v>188</v>
      </c>
      <c r="C12" s="316">
        <v>801306854</v>
      </c>
      <c r="D12" s="121"/>
      <c r="E12" s="316" t="s">
        <v>269</v>
      </c>
      <c r="F12" s="16">
        <v>2</v>
      </c>
      <c r="G12" s="136">
        <v>45455</v>
      </c>
      <c r="H12" s="129">
        <v>45489</v>
      </c>
      <c r="I12" s="129">
        <v>45527</v>
      </c>
      <c r="J12" s="129"/>
      <c r="K12" s="316"/>
    </row>
    <row r="13" spans="1:11" ht="16.2" thickBot="1" x14ac:dyDescent="0.35">
      <c r="A13" s="329"/>
      <c r="B13" s="124" t="s">
        <v>186</v>
      </c>
      <c r="C13" s="319"/>
      <c r="D13" s="185"/>
      <c r="E13" s="319"/>
      <c r="F13" s="124">
        <v>2</v>
      </c>
      <c r="G13" s="128">
        <v>45455</v>
      </c>
      <c r="H13" s="153">
        <v>45489</v>
      </c>
      <c r="I13" s="153">
        <v>45527</v>
      </c>
      <c r="J13" s="153"/>
      <c r="K13" s="319"/>
    </row>
    <row r="14" spans="1:11" s="175" customFormat="1" ht="15.6" x14ac:dyDescent="0.3">
      <c r="A14" s="323" t="s">
        <v>206</v>
      </c>
      <c r="B14" s="123" t="s">
        <v>188</v>
      </c>
      <c r="C14" s="318">
        <v>801306854</v>
      </c>
      <c r="D14" s="158"/>
      <c r="E14" s="318" t="s">
        <v>269</v>
      </c>
      <c r="F14" s="123">
        <v>2</v>
      </c>
      <c r="G14" s="154">
        <v>45456</v>
      </c>
      <c r="H14" s="155">
        <v>45490</v>
      </c>
      <c r="I14" s="155">
        <v>45530</v>
      </c>
      <c r="J14" s="155"/>
      <c r="K14" s="318"/>
    </row>
    <row r="15" spans="1:11" ht="15.6" x14ac:dyDescent="0.3">
      <c r="A15" s="324"/>
      <c r="B15" s="16" t="s">
        <v>186</v>
      </c>
      <c r="C15" s="320"/>
      <c r="D15" s="179"/>
      <c r="E15" s="320"/>
      <c r="F15" s="16">
        <v>2</v>
      </c>
      <c r="G15" s="136">
        <v>45456</v>
      </c>
      <c r="H15" s="126">
        <v>45490</v>
      </c>
      <c r="I15" s="126">
        <v>45530</v>
      </c>
      <c r="J15" s="126"/>
      <c r="K15" s="320"/>
    </row>
    <row r="16" spans="1:11" ht="15.6" x14ac:dyDescent="0.3">
      <c r="A16" s="327" t="s">
        <v>205</v>
      </c>
      <c r="B16" s="150" t="s">
        <v>188</v>
      </c>
      <c r="C16" s="316">
        <v>801306854</v>
      </c>
      <c r="D16" s="121"/>
      <c r="E16" s="316" t="s">
        <v>269</v>
      </c>
      <c r="F16" s="16">
        <v>2</v>
      </c>
      <c r="G16" s="136">
        <v>45456</v>
      </c>
      <c r="H16" s="129">
        <v>45490</v>
      </c>
      <c r="I16" s="129">
        <v>45530</v>
      </c>
      <c r="J16" s="129"/>
      <c r="K16" s="316"/>
    </row>
    <row r="17" spans="1:11" ht="16.2" thickBot="1" x14ac:dyDescent="0.35">
      <c r="A17" s="329"/>
      <c r="B17" s="124" t="s">
        <v>186</v>
      </c>
      <c r="C17" s="319"/>
      <c r="D17" s="185"/>
      <c r="E17" s="319"/>
      <c r="F17" s="124">
        <v>2</v>
      </c>
      <c r="G17" s="128">
        <v>45456</v>
      </c>
      <c r="H17" s="153">
        <v>45490</v>
      </c>
      <c r="I17" s="153">
        <v>45530</v>
      </c>
      <c r="J17" s="153"/>
      <c r="K17" s="319"/>
    </row>
    <row r="18" spans="1:11" ht="15.6" x14ac:dyDescent="0.3">
      <c r="A18" s="122" t="s">
        <v>204</v>
      </c>
      <c r="B18" s="123" t="s">
        <v>188</v>
      </c>
      <c r="C18" s="318">
        <v>801306845</v>
      </c>
      <c r="D18" s="158"/>
      <c r="E18" s="318" t="s">
        <v>269</v>
      </c>
      <c r="F18" s="123">
        <v>1</v>
      </c>
      <c r="G18" s="125"/>
      <c r="H18" s="156">
        <v>45491</v>
      </c>
      <c r="I18" s="156">
        <v>45532</v>
      </c>
      <c r="J18" s="156"/>
      <c r="K18" s="318"/>
    </row>
    <row r="19" spans="1:11" ht="15.6" x14ac:dyDescent="0.3">
      <c r="A19" s="327" t="s">
        <v>203</v>
      </c>
      <c r="B19" s="16" t="s">
        <v>186</v>
      </c>
      <c r="C19" s="317"/>
      <c r="D19" s="186"/>
      <c r="E19" s="317"/>
      <c r="F19" s="16">
        <v>2</v>
      </c>
      <c r="G19" s="136"/>
      <c r="H19" s="148">
        <v>45491</v>
      </c>
      <c r="I19" s="148">
        <v>45532</v>
      </c>
      <c r="J19" s="148"/>
      <c r="K19" s="317"/>
    </row>
    <row r="20" spans="1:11" ht="15.6" x14ac:dyDescent="0.3">
      <c r="A20" s="324"/>
      <c r="B20" s="150" t="s">
        <v>188</v>
      </c>
      <c r="C20" s="320"/>
      <c r="D20" s="179"/>
      <c r="E20" s="320"/>
      <c r="F20" s="16">
        <v>1</v>
      </c>
      <c r="G20" s="136"/>
      <c r="H20" s="126">
        <v>45491</v>
      </c>
      <c r="I20" s="126">
        <v>45532</v>
      </c>
      <c r="J20" s="126"/>
      <c r="K20" s="320"/>
    </row>
    <row r="21" spans="1:11" ht="15.6" x14ac:dyDescent="0.3">
      <c r="A21" s="327" t="s">
        <v>202</v>
      </c>
      <c r="B21" s="150" t="s">
        <v>188</v>
      </c>
      <c r="C21" s="316">
        <v>801306854</v>
      </c>
      <c r="D21" s="121"/>
      <c r="E21" s="316" t="s">
        <v>269</v>
      </c>
      <c r="F21" s="16">
        <v>2</v>
      </c>
      <c r="G21" s="136"/>
      <c r="H21" s="129">
        <v>45491</v>
      </c>
      <c r="I21" s="129">
        <v>45531</v>
      </c>
      <c r="J21" s="129"/>
      <c r="K21" s="316"/>
    </row>
    <row r="22" spans="1:11" ht="16.2" thickBot="1" x14ac:dyDescent="0.35">
      <c r="A22" s="329"/>
      <c r="B22" s="124" t="s">
        <v>201</v>
      </c>
      <c r="C22" s="319"/>
      <c r="D22" s="185"/>
      <c r="E22" s="319"/>
      <c r="F22" s="124">
        <v>2</v>
      </c>
      <c r="G22" s="128"/>
      <c r="H22" s="153">
        <v>45491</v>
      </c>
      <c r="I22" s="153">
        <v>45531</v>
      </c>
      <c r="J22" s="153"/>
      <c r="K22" s="319"/>
    </row>
    <row r="23" spans="1:11" ht="15.6" x14ac:dyDescent="0.3">
      <c r="A23" s="122" t="s">
        <v>292</v>
      </c>
      <c r="B23" s="123" t="s">
        <v>188</v>
      </c>
      <c r="C23" s="130" t="s">
        <v>281</v>
      </c>
      <c r="D23" s="181"/>
      <c r="E23" s="123" t="s">
        <v>281</v>
      </c>
      <c r="F23" s="123">
        <v>4</v>
      </c>
      <c r="G23" s="123"/>
      <c r="H23" s="131">
        <v>45492</v>
      </c>
      <c r="I23" s="131">
        <v>45533</v>
      </c>
      <c r="J23" s="131"/>
      <c r="K23" s="130"/>
    </row>
    <row r="24" spans="1:11" ht="15.6" x14ac:dyDescent="0.3">
      <c r="A24" s="327" t="s">
        <v>260</v>
      </c>
      <c r="B24" s="16" t="s">
        <v>186</v>
      </c>
      <c r="C24" s="133">
        <v>801306858</v>
      </c>
      <c r="D24" s="182"/>
      <c r="E24" s="316" t="s">
        <v>270</v>
      </c>
      <c r="F24" s="16">
        <v>1</v>
      </c>
      <c r="G24" s="16"/>
      <c r="H24" s="137">
        <v>45495</v>
      </c>
      <c r="I24" s="137">
        <v>45532</v>
      </c>
      <c r="J24" s="137"/>
      <c r="K24" s="133"/>
    </row>
    <row r="25" spans="1:11" ht="15.6" x14ac:dyDescent="0.3">
      <c r="A25" s="328"/>
      <c r="B25" s="16" t="s">
        <v>200</v>
      </c>
      <c r="C25" s="133">
        <v>801306858</v>
      </c>
      <c r="D25" s="183"/>
      <c r="E25" s="317"/>
      <c r="F25" s="16">
        <v>2</v>
      </c>
      <c r="G25" s="16"/>
      <c r="H25" s="137">
        <v>45495</v>
      </c>
      <c r="I25" s="137">
        <v>45532</v>
      </c>
      <c r="J25" s="137"/>
      <c r="K25" s="133"/>
    </row>
    <row r="26" spans="1:11" ht="16.2" thickBot="1" x14ac:dyDescent="0.35">
      <c r="A26" s="329"/>
      <c r="B26" s="124" t="s">
        <v>199</v>
      </c>
      <c r="C26" s="139">
        <v>801306858</v>
      </c>
      <c r="D26" s="184"/>
      <c r="E26" s="319"/>
      <c r="F26" s="124">
        <v>1</v>
      </c>
      <c r="G26" s="124"/>
      <c r="H26" s="141">
        <v>45495</v>
      </c>
      <c r="I26" s="141">
        <v>45532</v>
      </c>
      <c r="J26" s="141"/>
      <c r="K26" s="139"/>
    </row>
    <row r="27" spans="1:11" ht="30.9" customHeight="1" thickBot="1" x14ac:dyDescent="0.35">
      <c r="A27" s="122" t="s">
        <v>261</v>
      </c>
      <c r="B27" s="157" t="s">
        <v>198</v>
      </c>
      <c r="C27" s="130">
        <v>801306858</v>
      </c>
      <c r="D27" s="181"/>
      <c r="E27" s="123" t="s">
        <v>270</v>
      </c>
      <c r="F27" s="123">
        <v>4</v>
      </c>
      <c r="G27" s="123"/>
      <c r="H27" s="131">
        <v>45496</v>
      </c>
      <c r="I27" s="131">
        <v>45534</v>
      </c>
      <c r="J27" s="131"/>
      <c r="K27" s="130"/>
    </row>
    <row r="28" spans="1:11" ht="47.4" thickBot="1" x14ac:dyDescent="0.35">
      <c r="A28" s="151" t="s">
        <v>262</v>
      </c>
      <c r="B28" s="158" t="s">
        <v>198</v>
      </c>
      <c r="C28" s="159">
        <v>801306858</v>
      </c>
      <c r="D28" s="183"/>
      <c r="E28" s="135" t="s">
        <v>270</v>
      </c>
      <c r="F28" s="135">
        <v>4</v>
      </c>
      <c r="G28" s="135"/>
      <c r="H28" s="160">
        <v>45496</v>
      </c>
      <c r="I28" s="161">
        <v>45534</v>
      </c>
      <c r="J28" s="161"/>
      <c r="K28" s="159"/>
    </row>
    <row r="29" spans="1:11" ht="15.6" x14ac:dyDescent="0.3">
      <c r="A29" s="323" t="s">
        <v>197</v>
      </c>
      <c r="B29" s="123" t="s">
        <v>188</v>
      </c>
      <c r="C29" s="318" t="s">
        <v>281</v>
      </c>
      <c r="D29" s="325" t="s">
        <v>299</v>
      </c>
      <c r="E29" s="318" t="s">
        <v>281</v>
      </c>
      <c r="F29" s="123">
        <v>4</v>
      </c>
      <c r="G29" s="125">
        <v>45467</v>
      </c>
      <c r="H29" s="131">
        <v>45497</v>
      </c>
      <c r="I29" s="131"/>
      <c r="J29" s="131">
        <v>45537</v>
      </c>
      <c r="K29" s="130"/>
    </row>
    <row r="30" spans="1:11" ht="14.4" customHeight="1" thickBot="1" x14ac:dyDescent="0.35">
      <c r="A30" s="329"/>
      <c r="B30" s="124" t="s">
        <v>186</v>
      </c>
      <c r="C30" s="319"/>
      <c r="D30" s="334"/>
      <c r="E30" s="319"/>
      <c r="F30" s="124">
        <v>4</v>
      </c>
      <c r="G30" s="128">
        <v>45467</v>
      </c>
      <c r="H30" s="141">
        <v>45497</v>
      </c>
      <c r="I30" s="141"/>
      <c r="J30" s="141">
        <v>45537</v>
      </c>
      <c r="K30" s="139"/>
    </row>
    <row r="31" spans="1:11" ht="15.6" x14ac:dyDescent="0.3">
      <c r="A31" s="149" t="s">
        <v>282</v>
      </c>
      <c r="B31" s="150" t="s">
        <v>186</v>
      </c>
      <c r="C31" s="162" t="s">
        <v>300</v>
      </c>
      <c r="D31" s="187" t="s">
        <v>302</v>
      </c>
      <c r="E31" s="150" t="s">
        <v>284</v>
      </c>
      <c r="F31" s="150">
        <v>4</v>
      </c>
      <c r="G31" s="126">
        <v>45407</v>
      </c>
      <c r="H31" s="163">
        <v>45497</v>
      </c>
      <c r="I31" s="163"/>
      <c r="J31" s="163">
        <v>45538</v>
      </c>
      <c r="K31" s="162"/>
    </row>
    <row r="32" spans="1:11" ht="16.2" thickBot="1" x14ac:dyDescent="0.35">
      <c r="A32" s="152" t="s">
        <v>283</v>
      </c>
      <c r="B32" s="140" t="s">
        <v>186</v>
      </c>
      <c r="C32" s="138" t="s">
        <v>301</v>
      </c>
      <c r="D32" s="183" t="s">
        <v>303</v>
      </c>
      <c r="E32" s="140" t="s">
        <v>285</v>
      </c>
      <c r="F32" s="140">
        <v>4</v>
      </c>
      <c r="G32" s="153">
        <v>45407</v>
      </c>
      <c r="H32" s="161">
        <v>45497</v>
      </c>
      <c r="I32" s="137"/>
      <c r="J32" s="137">
        <v>45538</v>
      </c>
      <c r="K32" s="138"/>
    </row>
    <row r="33" spans="1:11" ht="15.6" x14ac:dyDescent="0.3">
      <c r="A33" s="330" t="s">
        <v>286</v>
      </c>
      <c r="B33" s="123" t="s">
        <v>188</v>
      </c>
      <c r="C33" s="318">
        <v>801306845</v>
      </c>
      <c r="D33" s="325" t="s">
        <v>309</v>
      </c>
      <c r="E33" s="318" t="s">
        <v>268</v>
      </c>
      <c r="F33" s="123">
        <v>1</v>
      </c>
      <c r="G33" s="125">
        <v>45469</v>
      </c>
      <c r="H33" s="131">
        <v>45498</v>
      </c>
      <c r="I33" s="131"/>
      <c r="J33" s="131">
        <v>45539</v>
      </c>
      <c r="K33" s="130"/>
    </row>
    <row r="34" spans="1:11" ht="15.6" x14ac:dyDescent="0.3">
      <c r="A34" s="331"/>
      <c r="B34" s="16" t="s">
        <v>196</v>
      </c>
      <c r="C34" s="320"/>
      <c r="D34" s="326"/>
      <c r="E34" s="317"/>
      <c r="F34" s="16">
        <v>3</v>
      </c>
      <c r="G34" s="136">
        <v>45469</v>
      </c>
      <c r="H34" s="137">
        <v>45498</v>
      </c>
      <c r="I34" s="137"/>
      <c r="J34" s="137">
        <v>45539</v>
      </c>
      <c r="K34" s="133"/>
    </row>
    <row r="35" spans="1:11" ht="14.4" customHeight="1" x14ac:dyDescent="0.3">
      <c r="A35" s="327" t="s">
        <v>331</v>
      </c>
      <c r="B35" s="16" t="s">
        <v>188</v>
      </c>
      <c r="C35" s="316">
        <v>801306845</v>
      </c>
      <c r="D35" s="332" t="s">
        <v>310</v>
      </c>
      <c r="E35" s="316" t="s">
        <v>268</v>
      </c>
      <c r="F35" s="16">
        <v>3</v>
      </c>
      <c r="G35" s="136">
        <v>45469</v>
      </c>
      <c r="H35" s="137">
        <v>45504</v>
      </c>
      <c r="I35" s="137"/>
      <c r="J35" s="137">
        <v>45539</v>
      </c>
      <c r="K35" s="133"/>
    </row>
    <row r="36" spans="1:11" ht="16.2" thickBot="1" x14ac:dyDescent="0.35">
      <c r="A36" s="329"/>
      <c r="B36" s="164" t="s">
        <v>186</v>
      </c>
      <c r="C36" s="319"/>
      <c r="D36" s="334"/>
      <c r="E36" s="319"/>
      <c r="F36" s="124">
        <v>1</v>
      </c>
      <c r="G36" s="128">
        <v>45469</v>
      </c>
      <c r="H36" s="141">
        <v>45504</v>
      </c>
      <c r="I36" s="141"/>
      <c r="J36" s="141">
        <v>45539</v>
      </c>
      <c r="K36" s="139"/>
    </row>
    <row r="37" spans="1:11" ht="14.4" customHeight="1" x14ac:dyDescent="0.3">
      <c r="A37" s="323" t="s">
        <v>332</v>
      </c>
      <c r="B37" s="123" t="s">
        <v>188</v>
      </c>
      <c r="C37" s="318">
        <v>801306845</v>
      </c>
      <c r="D37" s="325" t="s">
        <v>311</v>
      </c>
      <c r="E37" s="318" t="s">
        <v>268</v>
      </c>
      <c r="F37" s="123">
        <v>2</v>
      </c>
      <c r="G37" s="165">
        <v>45470</v>
      </c>
      <c r="H37" s="165">
        <v>45505</v>
      </c>
      <c r="I37" s="165"/>
      <c r="J37" s="165">
        <v>45540</v>
      </c>
      <c r="K37" s="16"/>
    </row>
    <row r="38" spans="1:11" ht="15.6" x14ac:dyDescent="0.3">
      <c r="A38" s="324"/>
      <c r="B38" s="166" t="s">
        <v>186</v>
      </c>
      <c r="C38" s="320"/>
      <c r="D38" s="326"/>
      <c r="E38" s="317"/>
      <c r="F38" s="16">
        <v>2</v>
      </c>
      <c r="G38" s="136">
        <v>45470</v>
      </c>
      <c r="H38" s="137">
        <v>45505</v>
      </c>
      <c r="I38" s="137"/>
      <c r="J38" s="137">
        <v>45540</v>
      </c>
      <c r="K38" s="16"/>
    </row>
    <row r="39" spans="1:11" ht="15.6" x14ac:dyDescent="0.3">
      <c r="A39" s="327">
        <v>1100</v>
      </c>
      <c r="B39" s="16" t="s">
        <v>188</v>
      </c>
      <c r="C39" s="316">
        <v>801306845</v>
      </c>
      <c r="D39" s="332" t="s">
        <v>312</v>
      </c>
      <c r="E39" s="316" t="s">
        <v>268</v>
      </c>
      <c r="F39" s="16">
        <v>1</v>
      </c>
      <c r="G39" s="136">
        <v>45470</v>
      </c>
      <c r="H39" s="137">
        <v>45505</v>
      </c>
      <c r="I39" s="137"/>
      <c r="J39" s="137">
        <v>45540</v>
      </c>
      <c r="K39" s="16"/>
    </row>
    <row r="40" spans="1:11" ht="16.2" thickBot="1" x14ac:dyDescent="0.35">
      <c r="A40" s="329"/>
      <c r="B40" s="124" t="s">
        <v>186</v>
      </c>
      <c r="C40" s="319"/>
      <c r="D40" s="334"/>
      <c r="E40" s="319"/>
      <c r="F40" s="124">
        <v>3</v>
      </c>
      <c r="G40" s="128">
        <v>45470</v>
      </c>
      <c r="H40" s="141">
        <v>45505</v>
      </c>
      <c r="I40" s="160"/>
      <c r="J40" s="160">
        <v>45540</v>
      </c>
      <c r="K40" s="16"/>
    </row>
    <row r="41" spans="1:11" ht="15.6" x14ac:dyDescent="0.3">
      <c r="A41" s="122">
        <v>1000</v>
      </c>
      <c r="B41" s="123" t="s">
        <v>188</v>
      </c>
      <c r="C41" s="130" t="s">
        <v>281</v>
      </c>
      <c r="D41" s="18" t="s">
        <v>314</v>
      </c>
      <c r="E41" s="123" t="s">
        <v>281</v>
      </c>
      <c r="F41" s="123">
        <v>6</v>
      </c>
      <c r="G41" s="125">
        <v>45471</v>
      </c>
      <c r="H41" s="131">
        <v>45506</v>
      </c>
      <c r="I41" s="131"/>
      <c r="J41" s="131">
        <v>45541</v>
      </c>
      <c r="K41" s="130"/>
    </row>
    <row r="42" spans="1:11" ht="16.2" thickBot="1" x14ac:dyDescent="0.35">
      <c r="A42" s="127" t="s">
        <v>195</v>
      </c>
      <c r="B42" s="124" t="s">
        <v>188</v>
      </c>
      <c r="C42" s="139">
        <v>801271404</v>
      </c>
      <c r="D42" s="18" t="s">
        <v>18</v>
      </c>
      <c r="E42" s="124" t="s">
        <v>270</v>
      </c>
      <c r="F42" s="124">
        <v>2</v>
      </c>
      <c r="G42" s="128">
        <v>45471</v>
      </c>
      <c r="H42" s="141">
        <v>45506</v>
      </c>
      <c r="I42" s="141"/>
      <c r="J42" s="141">
        <v>45541</v>
      </c>
      <c r="K42" s="139"/>
    </row>
    <row r="43" spans="1:11" ht="16.2" thickBot="1" x14ac:dyDescent="0.35">
      <c r="A43" s="142" t="s">
        <v>287</v>
      </c>
      <c r="B43" s="144" t="s">
        <v>188</v>
      </c>
      <c r="C43" s="147" t="s">
        <v>281</v>
      </c>
      <c r="D43" s="188" t="s">
        <v>315</v>
      </c>
      <c r="E43" s="147" t="s">
        <v>281</v>
      </c>
      <c r="F43" s="144">
        <v>8</v>
      </c>
      <c r="G43" s="145">
        <v>45474</v>
      </c>
      <c r="H43" s="167">
        <v>45509</v>
      </c>
      <c r="I43" s="167"/>
      <c r="J43" s="167">
        <v>45544</v>
      </c>
      <c r="K43" s="168"/>
    </row>
    <row r="44" spans="1:11" ht="15.6" x14ac:dyDescent="0.3">
      <c r="A44" s="122" t="s">
        <v>288</v>
      </c>
      <c r="B44" s="123" t="s">
        <v>289</v>
      </c>
      <c r="C44" s="318">
        <v>801306858</v>
      </c>
      <c r="D44" s="181" t="s">
        <v>319</v>
      </c>
      <c r="E44" s="123" t="s">
        <v>270</v>
      </c>
      <c r="F44" s="123">
        <v>4</v>
      </c>
      <c r="G44" s="125">
        <v>45475</v>
      </c>
      <c r="H44" s="131">
        <v>45510</v>
      </c>
      <c r="I44" s="131"/>
      <c r="J44" s="131">
        <v>45545</v>
      </c>
      <c r="K44" s="130"/>
    </row>
    <row r="45" spans="1:11" ht="16.2" thickBot="1" x14ac:dyDescent="0.35">
      <c r="A45" s="127" t="s">
        <v>194</v>
      </c>
      <c r="B45" s="150" t="s">
        <v>289</v>
      </c>
      <c r="C45" s="319"/>
      <c r="D45" s="189" t="s">
        <v>320</v>
      </c>
      <c r="E45" s="124" t="s">
        <v>270</v>
      </c>
      <c r="F45" s="124">
        <v>4</v>
      </c>
      <c r="G45" s="128">
        <v>45475</v>
      </c>
      <c r="H45" s="141">
        <v>45510</v>
      </c>
      <c r="I45" s="141"/>
      <c r="J45" s="141">
        <v>45545</v>
      </c>
      <c r="K45" s="139"/>
    </row>
    <row r="46" spans="1:11" ht="15.6" x14ac:dyDescent="0.3">
      <c r="A46" s="321" t="s">
        <v>263</v>
      </c>
      <c r="B46" s="123" t="s">
        <v>188</v>
      </c>
      <c r="C46" s="318">
        <v>801306845</v>
      </c>
      <c r="D46" s="325" t="s">
        <v>323</v>
      </c>
      <c r="E46" s="318" t="s">
        <v>268</v>
      </c>
      <c r="F46" s="123">
        <v>2</v>
      </c>
      <c r="G46" s="125">
        <v>45476</v>
      </c>
      <c r="H46" s="131">
        <v>45511</v>
      </c>
      <c r="I46" s="131"/>
      <c r="J46" s="131">
        <v>45546</v>
      </c>
      <c r="K46" s="130"/>
    </row>
    <row r="47" spans="1:11" ht="15.6" x14ac:dyDescent="0.3">
      <c r="A47" s="322"/>
      <c r="B47" s="16" t="s">
        <v>186</v>
      </c>
      <c r="C47" s="320"/>
      <c r="D47" s="326"/>
      <c r="E47" s="320"/>
      <c r="F47" s="16">
        <v>2</v>
      </c>
      <c r="G47" s="136">
        <v>45476</v>
      </c>
      <c r="H47" s="137">
        <v>45511</v>
      </c>
      <c r="I47" s="137"/>
      <c r="J47" s="137">
        <v>45546</v>
      </c>
      <c r="K47" s="133"/>
    </row>
    <row r="48" spans="1:11" ht="31.8" thickBot="1" x14ac:dyDescent="0.35">
      <c r="A48" s="127" t="s">
        <v>193</v>
      </c>
      <c r="B48" s="124" t="s">
        <v>192</v>
      </c>
      <c r="C48" s="139" t="s">
        <v>271</v>
      </c>
      <c r="D48" s="189" t="s">
        <v>324</v>
      </c>
      <c r="E48" s="124" t="s">
        <v>271</v>
      </c>
      <c r="F48" s="124">
        <v>4</v>
      </c>
      <c r="G48" s="128">
        <v>45476</v>
      </c>
      <c r="H48" s="141">
        <v>45511</v>
      </c>
      <c r="I48" s="141"/>
      <c r="J48" s="141">
        <v>45546</v>
      </c>
      <c r="K48" s="139"/>
    </row>
    <row r="49" spans="1:11" ht="31.8" thickBot="1" x14ac:dyDescent="0.35">
      <c r="A49" s="122" t="s">
        <v>264</v>
      </c>
      <c r="B49" s="123" t="s">
        <v>191</v>
      </c>
      <c r="C49" s="120" t="s">
        <v>327</v>
      </c>
      <c r="D49" s="120" t="s">
        <v>328</v>
      </c>
      <c r="E49" s="123" t="s">
        <v>321</v>
      </c>
      <c r="F49" s="123">
        <v>4</v>
      </c>
      <c r="G49" s="125">
        <v>45477</v>
      </c>
      <c r="H49" s="131">
        <v>45512</v>
      </c>
      <c r="I49" s="131"/>
      <c r="J49" s="131">
        <v>45547</v>
      </c>
      <c r="K49" s="130"/>
    </row>
    <row r="50" spans="1:11" ht="31.8" thickBot="1" x14ac:dyDescent="0.35">
      <c r="A50" s="127" t="s">
        <v>265</v>
      </c>
      <c r="B50" s="124" t="s">
        <v>191</v>
      </c>
      <c r="C50" s="120" t="s">
        <v>327</v>
      </c>
      <c r="D50" s="120" t="s">
        <v>329</v>
      </c>
      <c r="E50" s="123" t="s">
        <v>321</v>
      </c>
      <c r="F50" s="124">
        <v>4</v>
      </c>
      <c r="G50" s="128">
        <v>45477</v>
      </c>
      <c r="H50" s="141">
        <v>45512</v>
      </c>
      <c r="I50" s="141"/>
      <c r="J50" s="141">
        <v>45547</v>
      </c>
      <c r="K50" s="139"/>
    </row>
    <row r="51" spans="1:11" ht="31.2" x14ac:dyDescent="0.3">
      <c r="A51" s="122" t="s">
        <v>266</v>
      </c>
      <c r="B51" s="123"/>
      <c r="C51" s="120" t="s">
        <v>327</v>
      </c>
      <c r="D51" s="120" t="s">
        <v>333</v>
      </c>
      <c r="E51" s="123" t="s">
        <v>321</v>
      </c>
      <c r="F51" s="123">
        <v>4</v>
      </c>
      <c r="G51" s="125">
        <v>45478</v>
      </c>
      <c r="H51" s="131">
        <v>45513</v>
      </c>
      <c r="I51" s="131"/>
      <c r="J51" s="131">
        <v>45548</v>
      </c>
      <c r="K51" s="130"/>
    </row>
    <row r="52" spans="1:11" ht="16.2" thickBot="1" x14ac:dyDescent="0.35">
      <c r="A52" s="177" t="s">
        <v>190</v>
      </c>
      <c r="B52" s="178"/>
      <c r="C52" s="176" t="s">
        <v>334</v>
      </c>
      <c r="D52" s="176" t="s">
        <v>335</v>
      </c>
      <c r="E52" s="124" t="s">
        <v>284</v>
      </c>
      <c r="F52" s="124">
        <v>4</v>
      </c>
      <c r="G52" s="128">
        <v>45478</v>
      </c>
      <c r="H52" s="141">
        <v>45513</v>
      </c>
      <c r="I52" s="141"/>
      <c r="J52" s="141">
        <v>45548</v>
      </c>
      <c r="K52" s="139"/>
    </row>
    <row r="53" spans="1:11" ht="15.6" customHeight="1" x14ac:dyDescent="0.3">
      <c r="A53" s="323" t="s">
        <v>267</v>
      </c>
      <c r="B53" s="123" t="s">
        <v>187</v>
      </c>
      <c r="C53" s="318">
        <v>801306845</v>
      </c>
      <c r="D53" s="325" t="s">
        <v>336</v>
      </c>
      <c r="E53" s="318" t="s">
        <v>269</v>
      </c>
      <c r="F53" s="123">
        <v>2</v>
      </c>
      <c r="G53" s="125">
        <v>45481</v>
      </c>
      <c r="H53" s="169">
        <v>45516</v>
      </c>
      <c r="I53" s="131"/>
      <c r="J53" s="131">
        <v>45551</v>
      </c>
      <c r="K53" s="130"/>
    </row>
    <row r="54" spans="1:11" ht="15.6" x14ac:dyDescent="0.3">
      <c r="A54" s="324"/>
      <c r="B54" s="16" t="s">
        <v>189</v>
      </c>
      <c r="C54" s="320"/>
      <c r="D54" s="326"/>
      <c r="E54" s="320"/>
      <c r="F54" s="16">
        <v>2</v>
      </c>
      <c r="G54" s="136">
        <v>45481</v>
      </c>
      <c r="H54" s="170">
        <v>45516</v>
      </c>
      <c r="I54" s="137"/>
      <c r="J54" s="137">
        <v>45551</v>
      </c>
      <c r="K54" s="133"/>
    </row>
    <row r="55" spans="1:11" ht="15.6" x14ac:dyDescent="0.3">
      <c r="A55" s="327" t="s">
        <v>291</v>
      </c>
      <c r="B55" s="16" t="s">
        <v>188</v>
      </c>
      <c r="C55" s="316" t="s">
        <v>271</v>
      </c>
      <c r="D55" s="332" t="s">
        <v>337</v>
      </c>
      <c r="E55" s="316" t="s">
        <v>290</v>
      </c>
      <c r="F55" s="16">
        <v>1</v>
      </c>
      <c r="G55" s="136">
        <v>45481</v>
      </c>
      <c r="H55" s="171">
        <v>45523</v>
      </c>
      <c r="I55" s="137"/>
      <c r="J55" s="137">
        <v>45551</v>
      </c>
      <c r="K55" s="133"/>
    </row>
    <row r="56" spans="1:11" ht="15.6" x14ac:dyDescent="0.3">
      <c r="A56" s="328"/>
      <c r="B56" s="16" t="s">
        <v>187</v>
      </c>
      <c r="C56" s="317"/>
      <c r="D56" s="333"/>
      <c r="E56" s="317"/>
      <c r="F56" s="16">
        <v>2</v>
      </c>
      <c r="G56" s="136">
        <v>45481</v>
      </c>
      <c r="H56" s="171">
        <v>45523</v>
      </c>
      <c r="I56" s="137"/>
      <c r="J56" s="137">
        <v>45551</v>
      </c>
      <c r="K56" s="133"/>
    </row>
    <row r="57" spans="1:11" ht="16.2" thickBot="1" x14ac:dyDescent="0.35">
      <c r="A57" s="328"/>
      <c r="B57" s="135" t="s">
        <v>186</v>
      </c>
      <c r="C57" s="319"/>
      <c r="D57" s="334"/>
      <c r="E57" s="317"/>
      <c r="F57" s="135">
        <v>1</v>
      </c>
      <c r="G57" s="129">
        <v>45481</v>
      </c>
      <c r="H57" s="172">
        <v>45523</v>
      </c>
      <c r="I57" s="160"/>
      <c r="J57" s="160">
        <v>45551</v>
      </c>
      <c r="K57" s="134"/>
    </row>
    <row r="58" spans="1:11" ht="31.8" thickBot="1" x14ac:dyDescent="0.35">
      <c r="A58" s="142" t="s">
        <v>185</v>
      </c>
      <c r="B58" s="144" t="s">
        <v>186</v>
      </c>
      <c r="C58" s="168">
        <v>801306845</v>
      </c>
      <c r="D58" s="190" t="s">
        <v>338</v>
      </c>
      <c r="E58" s="144" t="s">
        <v>268</v>
      </c>
      <c r="F58" s="144">
        <v>8</v>
      </c>
      <c r="G58" s="145">
        <v>45447</v>
      </c>
      <c r="H58" s="167">
        <v>45523</v>
      </c>
      <c r="I58" s="167">
        <v>45523</v>
      </c>
      <c r="J58" s="167"/>
      <c r="K58" s="168"/>
    </row>
  </sheetData>
  <autoFilter ref="A2:K58" xr:uid="{FD286F4B-A261-4242-8856-5B72DB936B9C}"/>
  <mergeCells count="62">
    <mergeCell ref="A3:A4"/>
    <mergeCell ref="D37:D38"/>
    <mergeCell ref="D39:D40"/>
    <mergeCell ref="C37:C38"/>
    <mergeCell ref="C39:C40"/>
    <mergeCell ref="A14:A15"/>
    <mergeCell ref="A16:A17"/>
    <mergeCell ref="A10:A11"/>
    <mergeCell ref="A12:A13"/>
    <mergeCell ref="C10:C11"/>
    <mergeCell ref="C12:C13"/>
    <mergeCell ref="C14:C15"/>
    <mergeCell ref="C16:C17"/>
    <mergeCell ref="A7:A8"/>
    <mergeCell ref="A19:A20"/>
    <mergeCell ref="A21:A22"/>
    <mergeCell ref="A24:A26"/>
    <mergeCell ref="D35:D36"/>
    <mergeCell ref="C33:C34"/>
    <mergeCell ref="C35:C36"/>
    <mergeCell ref="C29:C30"/>
    <mergeCell ref="D29:D30"/>
    <mergeCell ref="D33:D34"/>
    <mergeCell ref="A46:A47"/>
    <mergeCell ref="A53:A54"/>
    <mergeCell ref="D46:D47"/>
    <mergeCell ref="A55:A57"/>
    <mergeCell ref="A29:A30"/>
    <mergeCell ref="A33:A34"/>
    <mergeCell ref="A35:A36"/>
    <mergeCell ref="A37:A38"/>
    <mergeCell ref="A39:A40"/>
    <mergeCell ref="C55:C57"/>
    <mergeCell ref="D55:D57"/>
    <mergeCell ref="C46:C47"/>
    <mergeCell ref="C44:C45"/>
    <mergeCell ref="D53:D54"/>
    <mergeCell ref="C53:C54"/>
    <mergeCell ref="E6:E8"/>
    <mergeCell ref="E10:E11"/>
    <mergeCell ref="E12:E13"/>
    <mergeCell ref="E14:E15"/>
    <mergeCell ref="E16:E17"/>
    <mergeCell ref="K10:K11"/>
    <mergeCell ref="K12:K13"/>
    <mergeCell ref="E18:E20"/>
    <mergeCell ref="E21:E22"/>
    <mergeCell ref="K14:K15"/>
    <mergeCell ref="K16:K17"/>
    <mergeCell ref="K18:K20"/>
    <mergeCell ref="K21:K22"/>
    <mergeCell ref="E55:E57"/>
    <mergeCell ref="E33:E34"/>
    <mergeCell ref="E35:E36"/>
    <mergeCell ref="E37:E38"/>
    <mergeCell ref="C18:C20"/>
    <mergeCell ref="C21:C22"/>
    <mergeCell ref="E24:E26"/>
    <mergeCell ref="E39:E40"/>
    <mergeCell ref="E53:E54"/>
    <mergeCell ref="E46:E47"/>
    <mergeCell ref="E29:E30"/>
  </mergeCells>
  <pageMargins left="0.7" right="0.7" top="0.75" bottom="0.75" header="0.3" footer="0.3"/>
  <pageSetup paperSize="9" scale="73"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AAF0-2BB3-471C-B6A7-20E4FB9BADFD}">
  <sheetPr>
    <pageSetUpPr fitToPage="1"/>
  </sheetPr>
  <dimension ref="A1:AB69"/>
  <sheetViews>
    <sheetView tabSelected="1" view="pageBreakPreview" zoomScale="115" zoomScaleNormal="115" zoomScaleSheetLayoutView="115"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S7" sqref="S7"/>
    </sheetView>
  </sheetViews>
  <sheetFormatPr baseColWidth="10" defaultColWidth="11.44140625" defaultRowHeight="14.4" x14ac:dyDescent="0.3"/>
  <cols>
    <col min="1" max="2" width="15.5546875" style="37" customWidth="1"/>
    <col min="3" max="3" width="19.33203125" style="37" customWidth="1"/>
    <col min="4" max="4" width="64.5546875" style="194" customWidth="1"/>
    <col min="5" max="5" width="15.33203125" style="194" customWidth="1"/>
    <col min="6" max="7" width="3.44140625" style="37" hidden="1" customWidth="1"/>
    <col min="8" max="10" width="5" style="214" hidden="1" customWidth="1"/>
    <col min="11" max="11" width="5.5546875" style="223" hidden="1" customWidth="1"/>
    <col min="12" max="12" width="6.88671875" style="223" hidden="1" customWidth="1"/>
    <col min="13" max="13" width="6.44140625" style="223" hidden="1" customWidth="1"/>
    <col min="14" max="15" width="6.88671875" style="223" hidden="1" customWidth="1"/>
    <col min="16" max="16" width="13.109375" style="223" customWidth="1"/>
    <col min="17" max="16384" width="11.44140625" style="200"/>
  </cols>
  <sheetData>
    <row r="1" spans="1:28" s="37" customFormat="1" ht="18" x14ac:dyDescent="0.3">
      <c r="A1" s="198"/>
      <c r="B1" s="198"/>
      <c r="C1" s="195" t="s">
        <v>217</v>
      </c>
      <c r="D1" s="193"/>
      <c r="E1" s="193"/>
      <c r="F1" s="217"/>
      <c r="G1" s="218">
        <f>SUM(G3:G36)</f>
        <v>128</v>
      </c>
      <c r="H1" s="212"/>
      <c r="I1" s="212"/>
      <c r="J1" s="212"/>
      <c r="K1" s="222"/>
      <c r="L1" s="222"/>
      <c r="M1" s="222"/>
      <c r="N1" s="222"/>
      <c r="O1" s="222"/>
      <c r="P1" s="222"/>
    </row>
    <row r="2" spans="1:28" s="199" customFormat="1" ht="15" customHeight="1" x14ac:dyDescent="0.3">
      <c r="A2" s="41" t="s">
        <v>2</v>
      </c>
      <c r="B2" s="41" t="s">
        <v>379</v>
      </c>
      <c r="C2" s="41" t="s">
        <v>435</v>
      </c>
      <c r="D2" s="196" t="s">
        <v>382</v>
      </c>
      <c r="E2" s="196" t="s">
        <v>380</v>
      </c>
      <c r="F2" s="41"/>
      <c r="G2" s="41" t="s">
        <v>340</v>
      </c>
      <c r="H2" s="213" t="s">
        <v>345</v>
      </c>
      <c r="I2" s="213" t="s">
        <v>346</v>
      </c>
      <c r="J2" s="213" t="s">
        <v>347</v>
      </c>
      <c r="K2" s="202" t="s">
        <v>344</v>
      </c>
      <c r="L2" s="202" t="s">
        <v>348</v>
      </c>
      <c r="M2" s="202" t="s">
        <v>349</v>
      </c>
      <c r="N2" s="202" t="s">
        <v>350</v>
      </c>
      <c r="O2" s="202" t="s">
        <v>391</v>
      </c>
      <c r="P2" s="202" t="s">
        <v>393</v>
      </c>
    </row>
    <row r="3" spans="1:28" ht="15" customHeight="1" x14ac:dyDescent="0.3">
      <c r="A3" s="226">
        <v>801306858</v>
      </c>
      <c r="B3" s="227" t="s">
        <v>385</v>
      </c>
      <c r="C3" s="261" t="s">
        <v>442</v>
      </c>
      <c r="D3" s="227" t="s">
        <v>414</v>
      </c>
      <c r="E3" s="227" t="s">
        <v>381</v>
      </c>
      <c r="F3" s="338">
        <v>1</v>
      </c>
      <c r="G3" s="226">
        <v>4</v>
      </c>
      <c r="H3" s="228">
        <v>45447</v>
      </c>
      <c r="I3" s="228">
        <v>45483</v>
      </c>
      <c r="J3" s="228">
        <v>45525</v>
      </c>
      <c r="K3" s="229">
        <v>45559</v>
      </c>
      <c r="L3" s="229">
        <v>45589</v>
      </c>
      <c r="M3" s="229">
        <v>45624</v>
      </c>
      <c r="N3" s="229">
        <v>45652</v>
      </c>
      <c r="O3" s="229">
        <v>27</v>
      </c>
      <c r="P3" s="219" t="s">
        <v>453</v>
      </c>
    </row>
    <row r="4" spans="1:28" ht="35.4" customHeight="1" x14ac:dyDescent="0.3">
      <c r="A4" s="257" t="s">
        <v>443</v>
      </c>
      <c r="B4" s="227" t="s">
        <v>444</v>
      </c>
      <c r="C4" s="227" t="s">
        <v>411</v>
      </c>
      <c r="D4" s="227" t="s">
        <v>409</v>
      </c>
      <c r="E4" s="227" t="s">
        <v>381</v>
      </c>
      <c r="F4" s="338"/>
      <c r="G4" s="226">
        <v>4</v>
      </c>
      <c r="H4" s="228">
        <v>45448</v>
      </c>
      <c r="I4" s="228">
        <v>45484</v>
      </c>
      <c r="J4" s="228">
        <v>45526</v>
      </c>
      <c r="K4" s="229">
        <v>45559</v>
      </c>
      <c r="L4" s="229">
        <v>45589</v>
      </c>
      <c r="M4" s="229">
        <v>45624</v>
      </c>
      <c r="N4" s="229">
        <v>45652</v>
      </c>
      <c r="O4" s="229">
        <v>28</v>
      </c>
      <c r="P4" s="219" t="s">
        <v>453</v>
      </c>
    </row>
    <row r="5" spans="1:28" ht="29.4" customHeight="1" x14ac:dyDescent="0.3">
      <c r="A5" s="43" t="s">
        <v>296</v>
      </c>
      <c r="B5" s="191" t="s">
        <v>408</v>
      </c>
      <c r="C5" s="251" t="s">
        <v>412</v>
      </c>
      <c r="D5" s="191" t="s">
        <v>415</v>
      </c>
      <c r="E5" s="191" t="s">
        <v>381</v>
      </c>
      <c r="F5" s="32">
        <v>2</v>
      </c>
      <c r="G5" s="43">
        <v>4</v>
      </c>
      <c r="H5" s="230">
        <v>45449</v>
      </c>
      <c r="I5" s="225">
        <v>45485</v>
      </c>
      <c r="J5" s="225">
        <v>45527</v>
      </c>
      <c r="K5" s="219">
        <v>45561</v>
      </c>
      <c r="L5" s="219">
        <v>45590</v>
      </c>
      <c r="M5" s="219">
        <v>45625</v>
      </c>
      <c r="N5" s="219">
        <v>45653</v>
      </c>
      <c r="O5" s="219"/>
      <c r="P5" s="219" t="s">
        <v>454</v>
      </c>
    </row>
    <row r="6" spans="1:28" ht="30.6" customHeight="1" x14ac:dyDescent="0.3">
      <c r="A6" s="226" t="s">
        <v>447</v>
      </c>
      <c r="B6" s="227" t="s">
        <v>385</v>
      </c>
      <c r="C6" s="227" t="s">
        <v>428</v>
      </c>
      <c r="D6" s="227" t="s">
        <v>341</v>
      </c>
      <c r="E6" s="227" t="s">
        <v>381</v>
      </c>
      <c r="F6" s="226">
        <v>3</v>
      </c>
      <c r="G6" s="226">
        <v>8</v>
      </c>
      <c r="H6" s="228">
        <v>45450</v>
      </c>
      <c r="I6" s="228">
        <v>45488</v>
      </c>
      <c r="J6" s="228">
        <v>45531</v>
      </c>
      <c r="K6" s="229">
        <v>45562</v>
      </c>
      <c r="L6" s="229">
        <v>45593</v>
      </c>
      <c r="M6" s="229"/>
      <c r="N6" s="229" t="s">
        <v>392</v>
      </c>
      <c r="O6" s="229"/>
      <c r="P6" s="219" t="s">
        <v>455</v>
      </c>
    </row>
    <row r="7" spans="1:28" ht="30" customHeight="1" x14ac:dyDescent="0.3">
      <c r="A7" s="43" t="s">
        <v>447</v>
      </c>
      <c r="B7" s="191" t="s">
        <v>385</v>
      </c>
      <c r="C7" s="191" t="s">
        <v>429</v>
      </c>
      <c r="D7" s="191" t="s">
        <v>342</v>
      </c>
      <c r="E7" s="191" t="s">
        <v>381</v>
      </c>
      <c r="F7" s="43">
        <v>4</v>
      </c>
      <c r="G7" s="43">
        <v>8</v>
      </c>
      <c r="H7" s="225">
        <v>45453</v>
      </c>
      <c r="I7" s="225">
        <v>45489</v>
      </c>
      <c r="J7" s="225">
        <v>45532</v>
      </c>
      <c r="K7" s="219">
        <v>45565</v>
      </c>
      <c r="L7" s="219">
        <v>45594</v>
      </c>
      <c r="M7" s="219"/>
      <c r="N7" s="219">
        <v>45629</v>
      </c>
      <c r="O7" s="219">
        <v>45293</v>
      </c>
      <c r="P7" s="219" t="s">
        <v>456</v>
      </c>
    </row>
    <row r="8" spans="1:28" ht="15" customHeight="1" x14ac:dyDescent="0.3">
      <c r="A8" s="226" t="s">
        <v>280</v>
      </c>
      <c r="B8" s="227" t="s">
        <v>383</v>
      </c>
      <c r="C8" s="262" t="s">
        <v>439</v>
      </c>
      <c r="D8" s="227" t="s">
        <v>446</v>
      </c>
      <c r="E8" s="227" t="s">
        <v>381</v>
      </c>
      <c r="F8" s="226">
        <v>5</v>
      </c>
      <c r="G8" s="226">
        <v>8</v>
      </c>
      <c r="H8" s="228">
        <v>45454</v>
      </c>
      <c r="I8" s="228">
        <v>45490</v>
      </c>
      <c r="J8" s="228">
        <v>45533</v>
      </c>
      <c r="K8" s="229"/>
      <c r="L8" s="229">
        <v>45566</v>
      </c>
      <c r="M8" s="229">
        <v>45600</v>
      </c>
      <c r="N8" s="229">
        <v>45630</v>
      </c>
      <c r="O8" s="229">
        <v>45294</v>
      </c>
      <c r="P8" s="219" t="s">
        <v>457</v>
      </c>
    </row>
    <row r="9" spans="1:28" ht="29.4" customHeight="1" x14ac:dyDescent="0.3">
      <c r="A9" s="43" t="s">
        <v>280</v>
      </c>
      <c r="B9" s="191" t="s">
        <v>383</v>
      </c>
      <c r="C9" s="224" t="s">
        <v>439</v>
      </c>
      <c r="D9" s="191" t="s">
        <v>416</v>
      </c>
      <c r="E9" s="191" t="s">
        <v>381</v>
      </c>
      <c r="F9" s="43">
        <v>6</v>
      </c>
      <c r="G9" s="43">
        <v>8</v>
      </c>
      <c r="H9" s="225">
        <v>45455</v>
      </c>
      <c r="I9" s="225">
        <v>45491</v>
      </c>
      <c r="J9" s="225">
        <v>45534</v>
      </c>
      <c r="K9" s="219"/>
      <c r="L9" s="219">
        <v>45567</v>
      </c>
      <c r="M9" s="219">
        <v>45601</v>
      </c>
      <c r="N9" s="219">
        <v>45631</v>
      </c>
      <c r="O9" s="219">
        <v>45297</v>
      </c>
      <c r="P9" s="219" t="s">
        <v>458</v>
      </c>
    </row>
    <row r="10" spans="1:28" ht="29.4" customHeight="1" x14ac:dyDescent="0.3">
      <c r="A10" s="226" t="s">
        <v>448</v>
      </c>
      <c r="B10" s="227" t="s">
        <v>383</v>
      </c>
      <c r="C10" s="227" t="s">
        <v>5</v>
      </c>
      <c r="D10" s="227" t="s">
        <v>413</v>
      </c>
      <c r="E10" s="227" t="s">
        <v>381</v>
      </c>
      <c r="F10" s="226">
        <v>7</v>
      </c>
      <c r="G10" s="226">
        <v>8</v>
      </c>
      <c r="H10" s="228">
        <v>45456</v>
      </c>
      <c r="I10" s="228">
        <v>45495</v>
      </c>
      <c r="J10" s="228">
        <v>45537</v>
      </c>
      <c r="K10" s="229"/>
      <c r="L10" s="229">
        <v>45568</v>
      </c>
      <c r="M10" s="229">
        <v>45602</v>
      </c>
      <c r="N10" s="229">
        <v>45632</v>
      </c>
      <c r="O10" s="229">
        <v>45298</v>
      </c>
      <c r="P10" s="219" t="s">
        <v>459</v>
      </c>
    </row>
    <row r="11" spans="1:28" ht="29.4" customHeight="1" x14ac:dyDescent="0.3">
      <c r="A11" s="43" t="s">
        <v>448</v>
      </c>
      <c r="B11" s="191" t="s">
        <v>383</v>
      </c>
      <c r="C11" s="191" t="s">
        <v>440</v>
      </c>
      <c r="D11" s="191" t="s">
        <v>394</v>
      </c>
      <c r="E11" s="191" t="s">
        <v>381</v>
      </c>
      <c r="F11" s="43">
        <v>8</v>
      </c>
      <c r="G11" s="191"/>
      <c r="H11" s="191"/>
      <c r="I11" s="191"/>
      <c r="J11" s="191"/>
      <c r="K11" s="191"/>
      <c r="L11" s="219">
        <v>45575</v>
      </c>
      <c r="M11" s="231">
        <v>45603</v>
      </c>
      <c r="N11" s="250">
        <v>45635</v>
      </c>
      <c r="O11" s="250">
        <v>45299</v>
      </c>
      <c r="P11" s="219" t="s">
        <v>460</v>
      </c>
    </row>
    <row r="12" spans="1:28" s="201" customFormat="1" ht="29.4" customHeight="1" x14ac:dyDescent="0.3">
      <c r="A12" s="226" t="s">
        <v>448</v>
      </c>
      <c r="B12" s="227" t="s">
        <v>383</v>
      </c>
      <c r="C12" s="227" t="s">
        <v>440</v>
      </c>
      <c r="D12" s="227" t="s">
        <v>417</v>
      </c>
      <c r="E12" s="227" t="s">
        <v>381</v>
      </c>
      <c r="F12" s="226">
        <v>9</v>
      </c>
      <c r="G12" s="226">
        <v>8</v>
      </c>
      <c r="H12" s="232"/>
      <c r="I12" s="233"/>
      <c r="J12" s="233"/>
      <c r="K12" s="234">
        <v>45551</v>
      </c>
      <c r="L12" s="234">
        <v>45572</v>
      </c>
      <c r="M12" s="234">
        <v>45604</v>
      </c>
      <c r="N12" s="234">
        <v>45636</v>
      </c>
      <c r="O12" s="234">
        <v>45300</v>
      </c>
      <c r="P12" s="219" t="s">
        <v>461</v>
      </c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</row>
    <row r="13" spans="1:28" ht="15" customHeight="1" x14ac:dyDescent="0.3">
      <c r="A13" s="43" t="s">
        <v>448</v>
      </c>
      <c r="B13" s="191" t="s">
        <v>383</v>
      </c>
      <c r="C13" s="191" t="s">
        <v>440</v>
      </c>
      <c r="D13" s="191" t="s">
        <v>419</v>
      </c>
      <c r="E13" s="191" t="s">
        <v>381</v>
      </c>
      <c r="F13" s="43">
        <v>10</v>
      </c>
      <c r="G13" s="43">
        <v>8</v>
      </c>
      <c r="H13" s="230"/>
      <c r="I13" s="225"/>
      <c r="J13" s="225"/>
      <c r="K13" s="219">
        <v>45552</v>
      </c>
      <c r="L13" s="219">
        <v>45573</v>
      </c>
      <c r="M13" s="219">
        <v>45607</v>
      </c>
      <c r="N13" s="219">
        <v>45639</v>
      </c>
      <c r="O13" s="219">
        <v>45301</v>
      </c>
      <c r="P13" s="219" t="s">
        <v>462</v>
      </c>
    </row>
    <row r="14" spans="1:28" ht="30" customHeight="1" x14ac:dyDescent="0.3">
      <c r="A14" s="226" t="s">
        <v>448</v>
      </c>
      <c r="B14" s="227" t="s">
        <v>383</v>
      </c>
      <c r="C14" s="227" t="s">
        <v>440</v>
      </c>
      <c r="D14" s="227" t="s">
        <v>418</v>
      </c>
      <c r="E14" s="227" t="s">
        <v>381</v>
      </c>
      <c r="F14" s="226">
        <v>11</v>
      </c>
      <c r="G14" s="226">
        <v>8</v>
      </c>
      <c r="H14" s="228"/>
      <c r="I14" s="228"/>
      <c r="J14" s="228"/>
      <c r="K14" s="229">
        <v>45553</v>
      </c>
      <c r="L14" s="229">
        <v>45574</v>
      </c>
      <c r="M14" s="229">
        <v>45608</v>
      </c>
      <c r="N14" s="229">
        <v>45638</v>
      </c>
      <c r="O14" s="229">
        <v>45670</v>
      </c>
      <c r="P14" s="219" t="s">
        <v>463</v>
      </c>
    </row>
    <row r="15" spans="1:28" ht="30" customHeight="1" x14ac:dyDescent="0.3">
      <c r="A15" s="43" t="s">
        <v>447</v>
      </c>
      <c r="B15" s="258" t="s">
        <v>384</v>
      </c>
      <c r="C15" s="191" t="s">
        <v>428</v>
      </c>
      <c r="D15" s="224" t="s">
        <v>426</v>
      </c>
      <c r="E15" s="224" t="s">
        <v>381</v>
      </c>
      <c r="F15" s="256">
        <v>12</v>
      </c>
      <c r="G15" s="43">
        <v>4</v>
      </c>
      <c r="H15" s="225">
        <v>45467</v>
      </c>
      <c r="I15" s="225">
        <v>45504</v>
      </c>
      <c r="J15" s="225">
        <v>45539</v>
      </c>
      <c r="K15" s="219"/>
      <c r="L15" s="219" t="s">
        <v>377</v>
      </c>
      <c r="M15" s="223">
        <v>45609</v>
      </c>
      <c r="N15" s="219">
        <v>45637</v>
      </c>
      <c r="O15" s="219">
        <v>45671</v>
      </c>
      <c r="P15" s="219" t="s">
        <v>464</v>
      </c>
    </row>
    <row r="16" spans="1:28" ht="30.6" customHeight="1" x14ac:dyDescent="0.3">
      <c r="A16" s="226" t="s">
        <v>448</v>
      </c>
      <c r="B16" s="227" t="s">
        <v>384</v>
      </c>
      <c r="C16" s="227" t="s">
        <v>5</v>
      </c>
      <c r="D16" s="227" t="s">
        <v>427</v>
      </c>
      <c r="E16" s="227" t="s">
        <v>381</v>
      </c>
      <c r="F16" s="226">
        <v>13</v>
      </c>
      <c r="G16" s="226"/>
      <c r="H16" s="228"/>
      <c r="I16" s="228"/>
      <c r="J16" s="228"/>
      <c r="K16" s="229"/>
      <c r="L16" s="229">
        <v>45580</v>
      </c>
      <c r="M16" s="229">
        <v>45610</v>
      </c>
      <c r="N16" s="229">
        <v>45639</v>
      </c>
      <c r="O16" s="229">
        <v>45672</v>
      </c>
      <c r="P16" s="219" t="s">
        <v>465</v>
      </c>
    </row>
    <row r="17" spans="1:16" ht="29.4" customHeight="1" x14ac:dyDescent="0.3">
      <c r="A17" s="43" t="s">
        <v>448</v>
      </c>
      <c r="B17" s="191" t="s">
        <v>383</v>
      </c>
      <c r="C17" s="191" t="s">
        <v>410</v>
      </c>
      <c r="D17" s="191" t="s">
        <v>441</v>
      </c>
      <c r="E17" s="191" t="s">
        <v>381</v>
      </c>
      <c r="F17" s="43">
        <v>14</v>
      </c>
      <c r="G17" s="43">
        <v>8</v>
      </c>
      <c r="H17" s="225">
        <v>45470</v>
      </c>
      <c r="I17" s="225">
        <v>45505</v>
      </c>
      <c r="J17" s="225">
        <v>45541</v>
      </c>
      <c r="K17" s="219"/>
      <c r="L17" s="219">
        <v>45581</v>
      </c>
      <c r="M17" s="219">
        <v>45616</v>
      </c>
      <c r="N17" s="219">
        <v>45642</v>
      </c>
      <c r="O17" s="219">
        <v>45673</v>
      </c>
      <c r="P17" s="219" t="s">
        <v>466</v>
      </c>
    </row>
    <row r="18" spans="1:16" ht="30" customHeight="1" x14ac:dyDescent="0.3">
      <c r="A18" s="226" t="s">
        <v>448</v>
      </c>
      <c r="B18" s="227" t="s">
        <v>383</v>
      </c>
      <c r="C18" s="227" t="s">
        <v>410</v>
      </c>
      <c r="D18" s="227" t="s">
        <v>343</v>
      </c>
      <c r="E18" s="227" t="s">
        <v>381</v>
      </c>
      <c r="F18" s="226">
        <v>15</v>
      </c>
      <c r="G18" s="226">
        <v>8</v>
      </c>
      <c r="H18" s="228">
        <v>45471</v>
      </c>
      <c r="I18" s="228">
        <v>45506</v>
      </c>
      <c r="J18" s="228">
        <v>45544</v>
      </c>
      <c r="K18" s="229"/>
      <c r="L18" s="229">
        <v>45582</v>
      </c>
      <c r="M18" s="229">
        <v>45617</v>
      </c>
      <c r="N18" s="229">
        <v>45643</v>
      </c>
      <c r="O18" s="229">
        <v>45674</v>
      </c>
      <c r="P18" s="219" t="s">
        <v>467</v>
      </c>
    </row>
    <row r="19" spans="1:16" ht="30" customHeight="1" x14ac:dyDescent="0.3">
      <c r="A19" s="43" t="s">
        <v>448</v>
      </c>
      <c r="B19" s="191" t="s">
        <v>383</v>
      </c>
      <c r="C19" s="191" t="s">
        <v>410</v>
      </c>
      <c r="D19" s="191" t="s">
        <v>420</v>
      </c>
      <c r="E19" s="191" t="s">
        <v>381</v>
      </c>
      <c r="F19" s="297">
        <v>16</v>
      </c>
      <c r="G19" s="43">
        <v>6</v>
      </c>
      <c r="H19" s="225">
        <v>45476</v>
      </c>
      <c r="I19" s="225">
        <v>45511</v>
      </c>
      <c r="J19" s="225">
        <v>45545</v>
      </c>
      <c r="K19" s="219"/>
      <c r="L19" s="219" t="s">
        <v>376</v>
      </c>
      <c r="M19" s="219">
        <v>45618</v>
      </c>
      <c r="N19" s="219">
        <v>45644</v>
      </c>
      <c r="O19" s="219">
        <v>45677</v>
      </c>
      <c r="P19" s="219" t="s">
        <v>468</v>
      </c>
    </row>
    <row r="20" spans="1:16" ht="30" customHeight="1" x14ac:dyDescent="0.3">
      <c r="A20" s="43" t="s">
        <v>448</v>
      </c>
      <c r="B20" s="191" t="s">
        <v>383</v>
      </c>
      <c r="C20" s="191" t="s">
        <v>410</v>
      </c>
      <c r="D20" s="191" t="s">
        <v>423</v>
      </c>
      <c r="E20" s="191" t="s">
        <v>381</v>
      </c>
      <c r="F20" s="297"/>
      <c r="G20" s="43">
        <v>2</v>
      </c>
      <c r="H20" s="225">
        <v>45476</v>
      </c>
      <c r="I20" s="225">
        <v>45511</v>
      </c>
      <c r="J20" s="225">
        <v>45545</v>
      </c>
      <c r="K20" s="219"/>
      <c r="L20" s="219" t="s">
        <v>376</v>
      </c>
      <c r="M20" s="219">
        <v>45618</v>
      </c>
      <c r="N20" s="219">
        <v>45644</v>
      </c>
      <c r="O20" s="219">
        <v>45677</v>
      </c>
      <c r="P20" s="219" t="s">
        <v>468</v>
      </c>
    </row>
    <row r="21" spans="1:16" ht="30.6" customHeight="1" x14ac:dyDescent="0.3">
      <c r="A21" s="226" t="s">
        <v>448</v>
      </c>
      <c r="B21" s="227" t="s">
        <v>383</v>
      </c>
      <c r="C21" s="227" t="s">
        <v>410</v>
      </c>
      <c r="D21" s="235" t="s">
        <v>339</v>
      </c>
      <c r="E21" s="235" t="s">
        <v>381</v>
      </c>
      <c r="F21" s="226">
        <v>17</v>
      </c>
      <c r="G21" s="226">
        <v>8</v>
      </c>
      <c r="H21" s="228">
        <v>45477</v>
      </c>
      <c r="I21" s="228">
        <v>45510</v>
      </c>
      <c r="J21" s="228">
        <v>45546</v>
      </c>
      <c r="K21" s="229"/>
      <c r="L21" s="229">
        <v>45586</v>
      </c>
      <c r="M21" s="229">
        <v>45621</v>
      </c>
      <c r="N21" s="229">
        <v>45645</v>
      </c>
      <c r="O21" s="229">
        <v>45678</v>
      </c>
      <c r="P21" s="219" t="s">
        <v>469</v>
      </c>
    </row>
    <row r="22" spans="1:16" ht="30.6" customHeight="1" x14ac:dyDescent="0.3">
      <c r="A22" s="43" t="s">
        <v>448</v>
      </c>
      <c r="B22" s="191" t="s">
        <v>383</v>
      </c>
      <c r="C22" s="191" t="s">
        <v>410</v>
      </c>
      <c r="D22" s="231" t="s">
        <v>421</v>
      </c>
      <c r="E22" s="231" t="s">
        <v>381</v>
      </c>
      <c r="F22" s="43">
        <v>18</v>
      </c>
      <c r="G22" s="43">
        <v>8</v>
      </c>
      <c r="H22" s="225">
        <v>45478</v>
      </c>
      <c r="I22" s="225">
        <v>45512</v>
      </c>
      <c r="J22" s="225">
        <v>45547</v>
      </c>
      <c r="K22" s="219"/>
      <c r="L22" s="219">
        <v>45587</v>
      </c>
      <c r="M22" s="219">
        <v>45622</v>
      </c>
      <c r="N22" s="219">
        <v>45646</v>
      </c>
      <c r="O22" s="219">
        <v>45679</v>
      </c>
      <c r="P22" s="219" t="s">
        <v>470</v>
      </c>
    </row>
    <row r="23" spans="1:16" ht="30.6" customHeight="1" x14ac:dyDescent="0.3">
      <c r="A23" s="226" t="s">
        <v>448</v>
      </c>
      <c r="B23" s="227" t="s">
        <v>383</v>
      </c>
      <c r="C23" s="227" t="s">
        <v>410</v>
      </c>
      <c r="D23" s="227" t="s">
        <v>422</v>
      </c>
      <c r="E23" s="227" t="s">
        <v>381</v>
      </c>
      <c r="F23" s="226">
        <v>19</v>
      </c>
      <c r="G23" s="226">
        <v>8</v>
      </c>
      <c r="H23" s="228">
        <v>45481</v>
      </c>
      <c r="I23" s="228">
        <v>45513</v>
      </c>
      <c r="J23" s="228">
        <v>45548</v>
      </c>
      <c r="K23" s="229"/>
      <c r="L23" s="229">
        <v>45588</v>
      </c>
      <c r="M23" s="229">
        <v>45623</v>
      </c>
      <c r="N23" s="229">
        <v>45649</v>
      </c>
      <c r="O23" s="229">
        <v>45680</v>
      </c>
      <c r="P23" s="219" t="s">
        <v>471</v>
      </c>
    </row>
    <row r="24" spans="1:16" ht="15" customHeight="1" x14ac:dyDescent="0.3">
      <c r="A24" s="339" t="s">
        <v>473</v>
      </c>
      <c r="B24" s="339" t="s">
        <v>473</v>
      </c>
      <c r="C24" s="339" t="s">
        <v>473</v>
      </c>
      <c r="D24" s="340" t="s">
        <v>474</v>
      </c>
      <c r="E24" s="191" t="s">
        <v>381</v>
      </c>
      <c r="F24" s="339"/>
      <c r="G24" s="339"/>
      <c r="H24" s="341"/>
      <c r="I24" s="341"/>
      <c r="J24" s="341"/>
      <c r="K24" s="341"/>
      <c r="L24" s="341"/>
      <c r="M24" s="342"/>
      <c r="N24" s="341"/>
      <c r="O24" s="341"/>
      <c r="P24" s="219" t="s">
        <v>472</v>
      </c>
    </row>
    <row r="25" spans="1:16" ht="15" customHeight="1" x14ac:dyDescent="0.3"/>
    <row r="26" spans="1:16" ht="15" customHeight="1" x14ac:dyDescent="0.3"/>
    <row r="27" spans="1:16" ht="15" customHeight="1" x14ac:dyDescent="0.3"/>
    <row r="28" spans="1:16" ht="15" customHeight="1" x14ac:dyDescent="0.3"/>
    <row r="29" spans="1:16" ht="15" customHeight="1" x14ac:dyDescent="0.3"/>
    <row r="30" spans="1:16" ht="15" customHeight="1" x14ac:dyDescent="0.3"/>
    <row r="31" spans="1:16" ht="15" customHeight="1" x14ac:dyDescent="0.3"/>
    <row r="32" spans="1:16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autoFilter ref="C2:K23" xr:uid="{652AD01A-8ACA-4E6F-96B2-E559E0FE88BB}"/>
  <mergeCells count="2">
    <mergeCell ref="F19:F20"/>
    <mergeCell ref="F3:F4"/>
  </mergeCells>
  <phoneticPr fontId="7" type="noConversion"/>
  <pageMargins left="0.7" right="0.7" top="0.75" bottom="0.75" header="0.3" footer="0.3"/>
  <pageSetup paperSize="9" scale="92" fitToHeight="0" orientation="landscape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D45A-AAB1-445B-B36C-208F46C846B0}">
  <sheetPr>
    <pageSetUpPr fitToPage="1"/>
  </sheetPr>
  <dimension ref="A1:P68"/>
  <sheetViews>
    <sheetView zoomScale="115" zoomScaleNormal="115"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P3" sqref="P3"/>
    </sheetView>
  </sheetViews>
  <sheetFormatPr baseColWidth="10" defaultColWidth="11.44140625" defaultRowHeight="14.4" x14ac:dyDescent="0.3"/>
  <cols>
    <col min="1" max="2" width="15.5546875" style="37" customWidth="1"/>
    <col min="3" max="3" width="17.6640625" style="37" customWidth="1"/>
    <col min="4" max="4" width="64.6640625" style="194" customWidth="1"/>
    <col min="5" max="5" width="15.33203125" style="194" customWidth="1"/>
    <col min="6" max="7" width="3.44140625" style="37" hidden="1" customWidth="1"/>
    <col min="8" max="12" width="5.5546875" style="204" hidden="1" customWidth="1"/>
    <col min="13" max="13" width="7.33203125" style="247" hidden="1" customWidth="1"/>
    <col min="14" max="14" width="5.5546875" style="204" hidden="1" customWidth="1"/>
    <col min="15" max="15" width="6.5546875" style="204" hidden="1" customWidth="1"/>
    <col min="16" max="16" width="11.109375" style="204" customWidth="1"/>
    <col min="17" max="16384" width="11.44140625" style="200"/>
  </cols>
  <sheetData>
    <row r="1" spans="1:16" s="37" customFormat="1" ht="18" x14ac:dyDescent="0.3">
      <c r="A1" s="198"/>
      <c r="B1" s="198"/>
      <c r="C1" s="205"/>
      <c r="D1" s="193"/>
      <c r="E1" s="193"/>
      <c r="F1" s="217"/>
      <c r="G1" s="206">
        <f>SUM(G3:G36)</f>
        <v>145</v>
      </c>
      <c r="H1" s="203"/>
      <c r="I1" s="203"/>
      <c r="J1" s="203"/>
      <c r="K1" s="203"/>
      <c r="L1" s="203"/>
      <c r="M1" s="239"/>
      <c r="N1" s="203"/>
      <c r="O1" s="203"/>
      <c r="P1" s="203"/>
    </row>
    <row r="2" spans="1:16" s="199" customFormat="1" ht="15" customHeight="1" x14ac:dyDescent="0.3">
      <c r="A2" s="41" t="s">
        <v>2</v>
      </c>
      <c r="B2" s="41" t="s">
        <v>379</v>
      </c>
      <c r="C2" s="41" t="s">
        <v>435</v>
      </c>
      <c r="D2" s="196" t="s">
        <v>451</v>
      </c>
      <c r="E2" s="196" t="s">
        <v>380</v>
      </c>
      <c r="F2" s="41"/>
      <c r="G2" s="41" t="s">
        <v>340</v>
      </c>
      <c r="H2" s="202" t="s">
        <v>345</v>
      </c>
      <c r="I2" s="202" t="s">
        <v>346</v>
      </c>
      <c r="J2" s="202" t="s">
        <v>347</v>
      </c>
      <c r="K2" s="202" t="s">
        <v>344</v>
      </c>
      <c r="L2" s="202" t="s">
        <v>348</v>
      </c>
      <c r="M2" s="240" t="s">
        <v>349</v>
      </c>
      <c r="N2" s="202" t="s">
        <v>350</v>
      </c>
      <c r="O2" s="202" t="s">
        <v>391</v>
      </c>
      <c r="P2" s="202" t="s">
        <v>452</v>
      </c>
    </row>
    <row r="3" spans="1:16" ht="15" customHeight="1" x14ac:dyDescent="0.3">
      <c r="A3" s="43" t="s">
        <v>449</v>
      </c>
      <c r="B3" s="191" t="s">
        <v>388</v>
      </c>
      <c r="C3" s="224" t="s">
        <v>4</v>
      </c>
      <c r="D3" s="191" t="s">
        <v>351</v>
      </c>
      <c r="E3" s="251" t="s">
        <v>381</v>
      </c>
      <c r="F3" s="265">
        <v>1</v>
      </c>
      <c r="G3" s="43">
        <v>4</v>
      </c>
      <c r="H3" s="207"/>
      <c r="I3" s="207"/>
      <c r="J3" s="207"/>
      <c r="K3" s="219">
        <v>45554</v>
      </c>
      <c r="L3" s="219">
        <v>45588</v>
      </c>
      <c r="M3" s="242">
        <v>45621</v>
      </c>
      <c r="N3" s="219">
        <v>45652</v>
      </c>
      <c r="O3" s="219">
        <v>28</v>
      </c>
      <c r="P3" s="219" t="s">
        <v>453</v>
      </c>
    </row>
    <row r="4" spans="1:16" ht="15" customHeight="1" x14ac:dyDescent="0.3">
      <c r="A4" s="43" t="s">
        <v>281</v>
      </c>
      <c r="B4" s="249">
        <v>3030</v>
      </c>
      <c r="C4" s="259" t="s">
        <v>434</v>
      </c>
      <c r="D4" s="191" t="s">
        <v>352</v>
      </c>
      <c r="E4" s="249" t="s">
        <v>381</v>
      </c>
      <c r="F4" s="266"/>
      <c r="G4" s="43">
        <v>4</v>
      </c>
      <c r="H4" s="207"/>
      <c r="I4" s="207"/>
      <c r="J4" s="207"/>
      <c r="K4" s="219">
        <v>45554</v>
      </c>
      <c r="L4" s="219">
        <v>45588</v>
      </c>
      <c r="M4" s="242">
        <v>45621</v>
      </c>
      <c r="N4" s="219">
        <v>45652</v>
      </c>
      <c r="O4" s="221">
        <v>28</v>
      </c>
      <c r="P4" s="219" t="s">
        <v>453</v>
      </c>
    </row>
    <row r="5" spans="1:16" ht="15" customHeight="1" x14ac:dyDescent="0.3">
      <c r="A5" s="197" t="s">
        <v>449</v>
      </c>
      <c r="B5" s="192" t="s">
        <v>388</v>
      </c>
      <c r="C5" s="260" t="s">
        <v>4</v>
      </c>
      <c r="D5" s="192" t="s">
        <v>353</v>
      </c>
      <c r="E5" s="253" t="s">
        <v>381</v>
      </c>
      <c r="F5" s="267"/>
      <c r="G5" s="197">
        <v>2</v>
      </c>
      <c r="H5" s="208"/>
      <c r="I5" s="209"/>
      <c r="J5" s="209"/>
      <c r="K5" s="220">
        <v>45558</v>
      </c>
      <c r="L5" s="220">
        <v>45589</v>
      </c>
      <c r="M5" s="243">
        <v>45622</v>
      </c>
      <c r="N5" s="220">
        <v>45653</v>
      </c>
      <c r="O5" s="220"/>
      <c r="P5" s="219" t="s">
        <v>454</v>
      </c>
    </row>
    <row r="6" spans="1:16" ht="30.6" customHeight="1" x14ac:dyDescent="0.3">
      <c r="A6" s="197" t="s">
        <v>449</v>
      </c>
      <c r="B6" s="192" t="s">
        <v>402</v>
      </c>
      <c r="C6" s="260" t="s">
        <v>4</v>
      </c>
      <c r="D6" s="192" t="s">
        <v>450</v>
      </c>
      <c r="E6" s="254" t="s">
        <v>381</v>
      </c>
      <c r="F6" s="268"/>
      <c r="G6" s="197">
        <v>2</v>
      </c>
      <c r="H6" s="209"/>
      <c r="I6" s="209"/>
      <c r="J6" s="209"/>
      <c r="K6" s="220">
        <v>45558</v>
      </c>
      <c r="L6" s="220">
        <v>45589</v>
      </c>
      <c r="M6" s="243">
        <v>45622</v>
      </c>
      <c r="N6" s="220">
        <v>45653</v>
      </c>
      <c r="O6" s="220"/>
      <c r="P6" s="219" t="s">
        <v>454</v>
      </c>
    </row>
    <row r="7" spans="1:16" ht="30.6" customHeight="1" x14ac:dyDescent="0.3">
      <c r="A7" s="43" t="s">
        <v>449</v>
      </c>
      <c r="B7" s="191" t="s">
        <v>388</v>
      </c>
      <c r="C7" s="224" t="s">
        <v>4</v>
      </c>
      <c r="D7" s="191" t="s">
        <v>354</v>
      </c>
      <c r="E7" s="191" t="s">
        <v>381</v>
      </c>
      <c r="F7" s="43">
        <v>3</v>
      </c>
      <c r="G7" s="43">
        <v>8</v>
      </c>
      <c r="H7" s="207"/>
      <c r="I7" s="207"/>
      <c r="J7" s="207"/>
      <c r="K7" s="219">
        <v>45559</v>
      </c>
      <c r="L7" s="219">
        <v>45590</v>
      </c>
      <c r="M7" s="242">
        <v>45623</v>
      </c>
      <c r="N7" s="219">
        <v>45656</v>
      </c>
      <c r="O7" s="221"/>
      <c r="P7" s="219" t="s">
        <v>455</v>
      </c>
    </row>
    <row r="8" spans="1:16" ht="15" customHeight="1" x14ac:dyDescent="0.3">
      <c r="A8" s="197" t="s">
        <v>449</v>
      </c>
      <c r="B8" s="192" t="s">
        <v>388</v>
      </c>
      <c r="C8" s="260" t="s">
        <v>4</v>
      </c>
      <c r="D8" s="192" t="s">
        <v>355</v>
      </c>
      <c r="E8" s="252" t="s">
        <v>381</v>
      </c>
      <c r="F8" s="269">
        <v>4</v>
      </c>
      <c r="G8" s="197">
        <v>4</v>
      </c>
      <c r="H8" s="209"/>
      <c r="I8" s="209"/>
      <c r="J8" s="209"/>
      <c r="K8" s="220">
        <v>45560</v>
      </c>
      <c r="L8" s="220">
        <v>45593</v>
      </c>
      <c r="M8" s="243">
        <v>45624</v>
      </c>
      <c r="N8" s="209"/>
      <c r="O8" s="220">
        <v>45293</v>
      </c>
      <c r="P8" s="219" t="s">
        <v>456</v>
      </c>
    </row>
    <row r="9" spans="1:16" ht="30" customHeight="1" x14ac:dyDescent="0.3">
      <c r="A9" s="197" t="s">
        <v>449</v>
      </c>
      <c r="B9" s="192" t="s">
        <v>388</v>
      </c>
      <c r="C9" s="260" t="s">
        <v>4</v>
      </c>
      <c r="D9" s="192" t="s">
        <v>356</v>
      </c>
      <c r="E9" s="254" t="s">
        <v>381</v>
      </c>
      <c r="F9" s="268"/>
      <c r="G9" s="197">
        <v>4</v>
      </c>
      <c r="H9" s="209"/>
      <c r="I9" s="209"/>
      <c r="J9" s="209"/>
      <c r="K9" s="220">
        <v>45560</v>
      </c>
      <c r="L9" s="220">
        <v>45593</v>
      </c>
      <c r="M9" s="243">
        <v>45624</v>
      </c>
      <c r="N9" s="209"/>
      <c r="O9" s="220">
        <v>45293</v>
      </c>
      <c r="P9" s="219" t="s">
        <v>456</v>
      </c>
    </row>
    <row r="10" spans="1:16" ht="15" customHeight="1" x14ac:dyDescent="0.3">
      <c r="A10" s="43" t="s">
        <v>449</v>
      </c>
      <c r="B10" s="191" t="s">
        <v>388</v>
      </c>
      <c r="C10" s="224" t="s">
        <v>4</v>
      </c>
      <c r="D10" s="191" t="s">
        <v>397</v>
      </c>
      <c r="E10" s="251" t="s">
        <v>381</v>
      </c>
      <c r="F10" s="270">
        <v>5</v>
      </c>
      <c r="G10" s="43">
        <v>4</v>
      </c>
      <c r="H10" s="207"/>
      <c r="I10" s="207"/>
      <c r="J10" s="207"/>
      <c r="K10" s="219">
        <v>45561</v>
      </c>
      <c r="L10" s="219">
        <v>45594</v>
      </c>
      <c r="M10" s="242">
        <v>45625</v>
      </c>
      <c r="N10" s="207"/>
      <c r="O10" s="219">
        <v>45294</v>
      </c>
      <c r="P10" s="219" t="s">
        <v>457</v>
      </c>
    </row>
    <row r="11" spans="1:16" ht="15" customHeight="1" x14ac:dyDescent="0.3">
      <c r="A11" s="43" t="s">
        <v>449</v>
      </c>
      <c r="B11" s="191" t="s">
        <v>388</v>
      </c>
      <c r="C11" s="224" t="s">
        <v>4</v>
      </c>
      <c r="D11" s="191" t="s">
        <v>357</v>
      </c>
      <c r="E11" s="249" t="s">
        <v>381</v>
      </c>
      <c r="F11" s="271"/>
      <c r="G11" s="43">
        <v>4</v>
      </c>
      <c r="H11" s="210"/>
      <c r="I11" s="211"/>
      <c r="J11" s="211"/>
      <c r="K11" s="221">
        <v>45561</v>
      </c>
      <c r="L11" s="221">
        <v>45594</v>
      </c>
      <c r="M11" s="248">
        <v>45625</v>
      </c>
      <c r="N11" s="211"/>
      <c r="O11" s="221">
        <v>45294</v>
      </c>
      <c r="P11" s="219" t="s">
        <v>457</v>
      </c>
    </row>
    <row r="12" spans="1:16" ht="15" customHeight="1" x14ac:dyDescent="0.3">
      <c r="A12" s="197" t="s">
        <v>449</v>
      </c>
      <c r="B12" s="192" t="s">
        <v>388</v>
      </c>
      <c r="C12" s="260" t="s">
        <v>4</v>
      </c>
      <c r="D12" s="192" t="s">
        <v>445</v>
      </c>
      <c r="E12" s="252" t="s">
        <v>381</v>
      </c>
      <c r="F12" s="269">
        <v>6</v>
      </c>
      <c r="G12" s="197">
        <v>1</v>
      </c>
      <c r="H12" s="208"/>
      <c r="I12" s="209"/>
      <c r="J12" s="209"/>
      <c r="K12" s="220">
        <v>45562</v>
      </c>
      <c r="L12" s="220">
        <v>45595</v>
      </c>
      <c r="M12" s="243"/>
      <c r="N12" s="220">
        <v>45628</v>
      </c>
      <c r="O12" s="220">
        <v>45297</v>
      </c>
      <c r="P12" s="219" t="s">
        <v>458</v>
      </c>
    </row>
    <row r="13" spans="1:16" ht="30" customHeight="1" x14ac:dyDescent="0.3">
      <c r="A13" s="197" t="s">
        <v>449</v>
      </c>
      <c r="B13" s="192" t="s">
        <v>402</v>
      </c>
      <c r="C13" s="260" t="s">
        <v>4</v>
      </c>
      <c r="D13" s="192" t="s">
        <v>358</v>
      </c>
      <c r="E13" s="254" t="s">
        <v>381</v>
      </c>
      <c r="F13" s="268"/>
      <c r="G13" s="197">
        <v>4</v>
      </c>
      <c r="H13" s="209"/>
      <c r="I13" s="209"/>
      <c r="J13" s="209"/>
      <c r="K13" s="220">
        <v>45562</v>
      </c>
      <c r="L13" s="220">
        <v>45596</v>
      </c>
      <c r="M13" s="241"/>
      <c r="N13" s="220">
        <v>45628</v>
      </c>
      <c r="O13" s="220">
        <v>45297</v>
      </c>
      <c r="P13" s="219" t="s">
        <v>458</v>
      </c>
    </row>
    <row r="14" spans="1:16" ht="15" customHeight="1" x14ac:dyDescent="0.3">
      <c r="A14" s="43" t="s">
        <v>281</v>
      </c>
      <c r="B14" s="191" t="s">
        <v>388</v>
      </c>
      <c r="C14" s="224" t="s">
        <v>434</v>
      </c>
      <c r="D14" s="191" t="s">
        <v>436</v>
      </c>
      <c r="E14" s="251" t="s">
        <v>381</v>
      </c>
      <c r="F14" s="270">
        <v>7</v>
      </c>
      <c r="G14" s="43">
        <v>4</v>
      </c>
      <c r="H14" s="207"/>
      <c r="I14" s="207"/>
      <c r="J14" s="207"/>
      <c r="K14" s="219">
        <v>45565</v>
      </c>
      <c r="L14" s="207"/>
      <c r="M14" s="242">
        <v>45601</v>
      </c>
      <c r="N14" s="219">
        <v>45629</v>
      </c>
      <c r="O14" s="219">
        <v>45298</v>
      </c>
      <c r="P14" s="219" t="s">
        <v>459</v>
      </c>
    </row>
    <row r="15" spans="1:16" ht="30.6" customHeight="1" x14ac:dyDescent="0.3">
      <c r="A15" s="43" t="s">
        <v>447</v>
      </c>
      <c r="B15" s="191" t="s">
        <v>388</v>
      </c>
      <c r="C15" s="224" t="s">
        <v>430</v>
      </c>
      <c r="D15" s="191" t="s">
        <v>359</v>
      </c>
      <c r="E15" s="255" t="s">
        <v>381</v>
      </c>
      <c r="F15" s="272"/>
      <c r="G15" s="43">
        <v>2</v>
      </c>
      <c r="H15" s="207"/>
      <c r="I15" s="207"/>
      <c r="J15" s="207"/>
      <c r="K15" s="219">
        <v>45565</v>
      </c>
      <c r="L15" s="207"/>
      <c r="M15" s="242">
        <v>45597</v>
      </c>
      <c r="N15" s="219">
        <v>45629</v>
      </c>
      <c r="O15" s="219">
        <v>45298</v>
      </c>
      <c r="P15" s="219" t="s">
        <v>459</v>
      </c>
    </row>
    <row r="16" spans="1:16" ht="30.6" customHeight="1" x14ac:dyDescent="0.3">
      <c r="A16" s="43" t="s">
        <v>447</v>
      </c>
      <c r="B16" s="191" t="s">
        <v>388</v>
      </c>
      <c r="C16" s="224" t="s">
        <v>430</v>
      </c>
      <c r="D16" s="191" t="s">
        <v>362</v>
      </c>
      <c r="E16" s="249" t="s">
        <v>381</v>
      </c>
      <c r="F16" s="271"/>
      <c r="G16" s="43">
        <v>2</v>
      </c>
      <c r="H16" s="207"/>
      <c r="I16" s="207"/>
      <c r="J16" s="207"/>
      <c r="K16" s="219">
        <v>45565</v>
      </c>
      <c r="L16" s="207"/>
      <c r="M16" s="242">
        <v>45597</v>
      </c>
      <c r="N16" s="219">
        <v>45629</v>
      </c>
      <c r="O16" s="219">
        <v>45298</v>
      </c>
      <c r="P16" s="219" t="s">
        <v>459</v>
      </c>
    </row>
    <row r="17" spans="1:16" ht="30" customHeight="1" x14ac:dyDescent="0.3">
      <c r="A17" s="197" t="s">
        <v>447</v>
      </c>
      <c r="B17" s="192" t="s">
        <v>389</v>
      </c>
      <c r="C17" s="260" t="s">
        <v>431</v>
      </c>
      <c r="D17" s="192" t="s">
        <v>360</v>
      </c>
      <c r="E17" s="192" t="s">
        <v>381</v>
      </c>
      <c r="F17" s="197">
        <v>8</v>
      </c>
      <c r="G17" s="197">
        <v>8</v>
      </c>
      <c r="H17" s="209"/>
      <c r="I17" s="209"/>
      <c r="J17" s="209"/>
      <c r="K17" s="209"/>
      <c r="L17" s="220">
        <v>45566</v>
      </c>
      <c r="M17" s="243">
        <v>45600</v>
      </c>
      <c r="N17" s="220">
        <v>45630</v>
      </c>
      <c r="O17" s="220">
        <v>45299</v>
      </c>
      <c r="P17" s="219" t="s">
        <v>460</v>
      </c>
    </row>
    <row r="18" spans="1:16" ht="30" customHeight="1" x14ac:dyDescent="0.3">
      <c r="A18" s="43" t="s">
        <v>281</v>
      </c>
      <c r="B18" s="191" t="s">
        <v>404</v>
      </c>
      <c r="C18" s="224" t="s">
        <v>398</v>
      </c>
      <c r="D18" s="191" t="s">
        <v>361</v>
      </c>
      <c r="E18" s="251" t="s">
        <v>381</v>
      </c>
      <c r="F18" s="270">
        <v>9</v>
      </c>
      <c r="G18" s="43">
        <v>4</v>
      </c>
      <c r="H18" s="215"/>
      <c r="I18" s="215"/>
      <c r="J18" s="215"/>
      <c r="K18" s="219">
        <v>45537</v>
      </c>
      <c r="L18" s="219">
        <v>45567</v>
      </c>
      <c r="M18" s="244">
        <v>45601</v>
      </c>
      <c r="N18" s="219">
        <v>45631</v>
      </c>
      <c r="O18" s="219">
        <v>45300</v>
      </c>
      <c r="P18" s="219" t="s">
        <v>461</v>
      </c>
    </row>
    <row r="19" spans="1:16" ht="15" customHeight="1" x14ac:dyDescent="0.3">
      <c r="A19" s="43" t="s">
        <v>374</v>
      </c>
      <c r="B19" s="191">
        <v>3030</v>
      </c>
      <c r="C19" s="118" t="s">
        <v>424</v>
      </c>
      <c r="D19" s="191" t="s">
        <v>425</v>
      </c>
      <c r="E19" s="249" t="s">
        <v>381</v>
      </c>
      <c r="F19" s="271"/>
      <c r="G19" s="43">
        <v>4</v>
      </c>
      <c r="H19" s="215"/>
      <c r="I19" s="215"/>
      <c r="J19" s="215"/>
      <c r="K19" s="219">
        <v>45538</v>
      </c>
      <c r="L19" s="219">
        <v>45567</v>
      </c>
      <c r="M19" s="244">
        <v>45601</v>
      </c>
      <c r="N19" s="219">
        <v>45631</v>
      </c>
      <c r="O19" s="219">
        <v>23</v>
      </c>
      <c r="P19" s="219" t="s">
        <v>461</v>
      </c>
    </row>
    <row r="20" spans="1:16" ht="15" customHeight="1" x14ac:dyDescent="0.3">
      <c r="A20" s="197" t="s">
        <v>448</v>
      </c>
      <c r="B20" s="192">
        <v>3030</v>
      </c>
      <c r="C20" s="260" t="s">
        <v>399</v>
      </c>
      <c r="D20" s="192" t="s">
        <v>363</v>
      </c>
      <c r="E20" s="252" t="s">
        <v>381</v>
      </c>
      <c r="F20" s="269">
        <v>10</v>
      </c>
      <c r="G20" s="197">
        <v>4</v>
      </c>
      <c r="H20" s="216"/>
      <c r="I20" s="216"/>
      <c r="J20" s="216"/>
      <c r="K20" s="220">
        <v>45539</v>
      </c>
      <c r="L20" s="220">
        <v>45568</v>
      </c>
      <c r="M20" s="245">
        <v>45602</v>
      </c>
      <c r="N20" s="220">
        <v>45632</v>
      </c>
      <c r="O20" s="220">
        <v>45301</v>
      </c>
      <c r="P20" s="219" t="s">
        <v>462</v>
      </c>
    </row>
    <row r="21" spans="1:16" ht="45" customHeight="1" x14ac:dyDescent="0.3">
      <c r="A21" s="197" t="s">
        <v>448</v>
      </c>
      <c r="B21" s="192">
        <v>3030</v>
      </c>
      <c r="C21" s="260" t="s">
        <v>399</v>
      </c>
      <c r="D21" s="192" t="s">
        <v>403</v>
      </c>
      <c r="E21" s="254" t="s">
        <v>381</v>
      </c>
      <c r="F21" s="268"/>
      <c r="G21" s="197">
        <v>4</v>
      </c>
      <c r="H21" s="216"/>
      <c r="I21" s="216"/>
      <c r="J21" s="216"/>
      <c r="K21" s="220">
        <v>45539</v>
      </c>
      <c r="L21" s="220">
        <v>45568</v>
      </c>
      <c r="M21" s="245">
        <v>45602</v>
      </c>
      <c r="N21" s="220">
        <v>45632</v>
      </c>
      <c r="O21" s="220">
        <v>45301</v>
      </c>
      <c r="P21" s="219" t="s">
        <v>462</v>
      </c>
    </row>
    <row r="22" spans="1:16" ht="15" customHeight="1" x14ac:dyDescent="0.3">
      <c r="A22" s="43" t="s">
        <v>448</v>
      </c>
      <c r="B22" s="191">
        <v>3030</v>
      </c>
      <c r="C22" s="224" t="s">
        <v>5</v>
      </c>
      <c r="D22" s="191" t="s">
        <v>364</v>
      </c>
      <c r="E22" s="251" t="s">
        <v>381</v>
      </c>
      <c r="F22" s="270">
        <v>11</v>
      </c>
      <c r="G22" s="43">
        <v>4</v>
      </c>
      <c r="H22" s="215"/>
      <c r="I22" s="215"/>
      <c r="J22" s="215"/>
      <c r="K22" s="219">
        <v>45540</v>
      </c>
      <c r="L22" s="219">
        <v>45569</v>
      </c>
      <c r="M22" s="244">
        <v>45603</v>
      </c>
      <c r="N22" s="225">
        <v>45635</v>
      </c>
      <c r="O22" s="225">
        <v>45670</v>
      </c>
      <c r="P22" s="219" t="s">
        <v>463</v>
      </c>
    </row>
    <row r="23" spans="1:16" ht="15" customHeight="1" x14ac:dyDescent="0.3">
      <c r="A23" s="43" t="s">
        <v>448</v>
      </c>
      <c r="B23" s="191">
        <v>3030</v>
      </c>
      <c r="C23" s="224" t="s">
        <v>5</v>
      </c>
      <c r="D23" s="191" t="s">
        <v>365</v>
      </c>
      <c r="E23" s="249" t="s">
        <v>381</v>
      </c>
      <c r="F23" s="271"/>
      <c r="G23" s="43">
        <v>4</v>
      </c>
      <c r="H23" s="215"/>
      <c r="I23" s="215"/>
      <c r="J23" s="215"/>
      <c r="K23" s="219">
        <v>45540</v>
      </c>
      <c r="L23" s="219">
        <v>45569</v>
      </c>
      <c r="M23" s="244">
        <v>45604</v>
      </c>
      <c r="N23" s="225">
        <v>45635</v>
      </c>
      <c r="O23" s="225">
        <v>45670</v>
      </c>
      <c r="P23" s="219" t="s">
        <v>463</v>
      </c>
    </row>
    <row r="24" spans="1:16" ht="15" customHeight="1" x14ac:dyDescent="0.3">
      <c r="A24" s="197" t="s">
        <v>281</v>
      </c>
      <c r="B24" s="192">
        <v>3030</v>
      </c>
      <c r="C24" s="260" t="s">
        <v>437</v>
      </c>
      <c r="D24" s="192" t="s">
        <v>366</v>
      </c>
      <c r="E24" s="252" t="s">
        <v>381</v>
      </c>
      <c r="F24" s="269">
        <v>12</v>
      </c>
      <c r="G24" s="197">
        <v>6</v>
      </c>
      <c r="H24" s="216"/>
      <c r="I24" s="216"/>
      <c r="J24" s="216"/>
      <c r="K24" s="220">
        <v>45541</v>
      </c>
      <c r="L24" s="236">
        <v>45573</v>
      </c>
      <c r="M24" s="245">
        <v>45604</v>
      </c>
      <c r="N24" s="236">
        <v>45636</v>
      </c>
      <c r="O24" s="236">
        <v>45671</v>
      </c>
      <c r="P24" s="219" t="s">
        <v>464</v>
      </c>
    </row>
    <row r="25" spans="1:16" ht="15" customHeight="1" x14ac:dyDescent="0.3">
      <c r="A25" s="226" t="s">
        <v>447</v>
      </c>
      <c r="B25" s="192">
        <v>3030</v>
      </c>
      <c r="C25" s="260" t="s">
        <v>432</v>
      </c>
      <c r="D25" s="192" t="s">
        <v>367</v>
      </c>
      <c r="E25" s="254" t="s">
        <v>381</v>
      </c>
      <c r="F25" s="268"/>
      <c r="G25" s="197">
        <v>2</v>
      </c>
      <c r="H25" s="216"/>
      <c r="I25" s="216"/>
      <c r="J25" s="216"/>
      <c r="K25" s="220">
        <v>45541</v>
      </c>
      <c r="L25" s="236">
        <v>45573</v>
      </c>
      <c r="M25" s="245">
        <v>45607</v>
      </c>
      <c r="N25" s="236">
        <v>45636</v>
      </c>
      <c r="O25" s="236">
        <v>45671</v>
      </c>
      <c r="P25" s="219" t="s">
        <v>464</v>
      </c>
    </row>
    <row r="26" spans="1:16" ht="15" customHeight="1" x14ac:dyDescent="0.3">
      <c r="A26" s="43" t="s">
        <v>281</v>
      </c>
      <c r="B26" s="191">
        <v>3030</v>
      </c>
      <c r="C26" s="224" t="s">
        <v>437</v>
      </c>
      <c r="D26" s="191" t="s">
        <v>438</v>
      </c>
      <c r="E26" s="191" t="s">
        <v>381</v>
      </c>
      <c r="F26" s="43">
        <v>13</v>
      </c>
      <c r="G26" s="43">
        <v>8</v>
      </c>
      <c r="H26" s="215"/>
      <c r="I26" s="215"/>
      <c r="J26" s="215"/>
      <c r="K26" s="219">
        <v>45544</v>
      </c>
      <c r="L26" s="225">
        <v>45574</v>
      </c>
      <c r="M26" s="244">
        <v>45608</v>
      </c>
      <c r="N26" s="225">
        <v>45637</v>
      </c>
      <c r="O26" s="225">
        <v>45672</v>
      </c>
      <c r="P26" s="219" t="s">
        <v>465</v>
      </c>
    </row>
    <row r="27" spans="1:16" ht="15" customHeight="1" x14ac:dyDescent="0.3">
      <c r="A27" s="197" t="s">
        <v>271</v>
      </c>
      <c r="B27" s="192">
        <v>3030</v>
      </c>
      <c r="C27" s="260" t="s">
        <v>370</v>
      </c>
      <c r="D27" s="192" t="s">
        <v>368</v>
      </c>
      <c r="E27" s="192" t="s">
        <v>381</v>
      </c>
      <c r="F27" s="197">
        <v>14</v>
      </c>
      <c r="G27" s="197">
        <v>8</v>
      </c>
      <c r="H27" s="215"/>
      <c r="I27" s="215"/>
      <c r="J27" s="215"/>
      <c r="K27" s="220">
        <v>45545</v>
      </c>
      <c r="L27" s="236">
        <v>45575</v>
      </c>
      <c r="M27" s="245">
        <v>45609</v>
      </c>
      <c r="N27" s="236">
        <v>45638</v>
      </c>
      <c r="O27" s="236">
        <v>45673</v>
      </c>
      <c r="P27" s="219" t="s">
        <v>466</v>
      </c>
    </row>
    <row r="28" spans="1:16" ht="27" customHeight="1" x14ac:dyDescent="0.3">
      <c r="A28" s="43" t="s">
        <v>448</v>
      </c>
      <c r="B28" s="191">
        <v>3030</v>
      </c>
      <c r="C28" s="224" t="s">
        <v>399</v>
      </c>
      <c r="D28" s="191" t="s">
        <v>369</v>
      </c>
      <c r="E28" s="191" t="s">
        <v>381</v>
      </c>
      <c r="F28" s="270">
        <v>15</v>
      </c>
      <c r="G28" s="43">
        <v>4</v>
      </c>
      <c r="H28" s="215"/>
      <c r="I28" s="215"/>
      <c r="J28" s="215"/>
      <c r="K28" s="219">
        <v>45546</v>
      </c>
      <c r="L28" s="238" t="s">
        <v>377</v>
      </c>
      <c r="M28" s="244">
        <v>45610</v>
      </c>
      <c r="N28" s="225">
        <v>45639</v>
      </c>
      <c r="O28" s="225">
        <v>45674</v>
      </c>
      <c r="P28" s="219" t="s">
        <v>467</v>
      </c>
    </row>
    <row r="29" spans="1:16" ht="27" customHeight="1" x14ac:dyDescent="0.3">
      <c r="A29" s="43" t="s">
        <v>447</v>
      </c>
      <c r="B29" s="191">
        <v>3030</v>
      </c>
      <c r="C29" s="224" t="s">
        <v>431</v>
      </c>
      <c r="D29" s="191" t="s">
        <v>387</v>
      </c>
      <c r="E29" s="249" t="s">
        <v>381</v>
      </c>
      <c r="F29" s="272"/>
      <c r="G29" s="43">
        <v>4</v>
      </c>
      <c r="H29" s="215"/>
      <c r="I29" s="215"/>
      <c r="J29" s="215"/>
      <c r="K29" s="219">
        <v>45545</v>
      </c>
      <c r="L29" s="225">
        <v>45579</v>
      </c>
      <c r="M29" s="244">
        <v>45611</v>
      </c>
      <c r="N29" s="225">
        <v>45642</v>
      </c>
      <c r="O29" s="225">
        <v>45674</v>
      </c>
      <c r="P29" s="219" t="s">
        <v>467</v>
      </c>
    </row>
    <row r="30" spans="1:16" ht="25.5" customHeight="1" x14ac:dyDescent="0.3">
      <c r="A30" s="43" t="s">
        <v>447</v>
      </c>
      <c r="B30" s="191">
        <v>3030</v>
      </c>
      <c r="C30" s="224" t="s">
        <v>431</v>
      </c>
      <c r="D30" s="191" t="s">
        <v>386</v>
      </c>
      <c r="E30" s="255" t="s">
        <v>381</v>
      </c>
      <c r="F30" s="271"/>
      <c r="G30" s="43"/>
      <c r="H30" s="215"/>
      <c r="I30" s="215"/>
      <c r="J30" s="215"/>
      <c r="K30" s="219"/>
      <c r="L30" s="225">
        <v>45579</v>
      </c>
      <c r="M30" s="244">
        <v>45611</v>
      </c>
      <c r="N30" s="225">
        <v>45642</v>
      </c>
      <c r="O30" s="225">
        <v>45674</v>
      </c>
      <c r="P30" s="219" t="s">
        <v>467</v>
      </c>
    </row>
    <row r="31" spans="1:16" ht="15" customHeight="1" x14ac:dyDescent="0.3">
      <c r="A31" s="197" t="s">
        <v>373</v>
      </c>
      <c r="B31" s="192">
        <v>3030</v>
      </c>
      <c r="C31" s="263" t="s">
        <v>395</v>
      </c>
      <c r="D31" s="192" t="s">
        <v>396</v>
      </c>
      <c r="E31" s="252" t="s">
        <v>381</v>
      </c>
      <c r="F31" s="269">
        <v>16</v>
      </c>
      <c r="G31" s="197">
        <v>4</v>
      </c>
      <c r="H31" s="216"/>
      <c r="I31" s="216"/>
      <c r="J31" s="216"/>
      <c r="K31" s="220">
        <v>45547</v>
      </c>
      <c r="L31" s="237" t="s">
        <v>378</v>
      </c>
      <c r="M31" s="246"/>
      <c r="N31" s="236">
        <v>45643</v>
      </c>
      <c r="O31" s="236">
        <v>45677</v>
      </c>
      <c r="P31" s="219" t="s">
        <v>468</v>
      </c>
    </row>
    <row r="32" spans="1:16" ht="30.6" customHeight="1" x14ac:dyDescent="0.3">
      <c r="A32" s="197" t="s">
        <v>373</v>
      </c>
      <c r="B32" s="192">
        <v>3030</v>
      </c>
      <c r="C32" s="264"/>
      <c r="D32" s="192" t="s">
        <v>405</v>
      </c>
      <c r="E32" s="254" t="s">
        <v>381</v>
      </c>
      <c r="F32" s="268"/>
      <c r="G32" s="197">
        <v>4</v>
      </c>
      <c r="H32" s="216"/>
      <c r="I32" s="216"/>
      <c r="J32" s="216"/>
      <c r="K32" s="220">
        <v>45547</v>
      </c>
      <c r="L32" s="237" t="s">
        <v>378</v>
      </c>
      <c r="M32" s="246"/>
      <c r="N32" s="236">
        <v>45643</v>
      </c>
      <c r="O32" s="236">
        <v>45677</v>
      </c>
      <c r="P32" s="219" t="s">
        <v>468</v>
      </c>
    </row>
    <row r="33" spans="1:16" ht="30.6" customHeight="1" x14ac:dyDescent="0.3">
      <c r="A33" s="43" t="s">
        <v>373</v>
      </c>
      <c r="B33" s="191">
        <v>3030</v>
      </c>
      <c r="C33" s="224" t="s">
        <v>395</v>
      </c>
      <c r="D33" s="191" t="s">
        <v>406</v>
      </c>
      <c r="E33" s="191" t="s">
        <v>381</v>
      </c>
      <c r="F33" s="43">
        <v>17</v>
      </c>
      <c r="G33" s="43">
        <v>8</v>
      </c>
      <c r="H33" s="215"/>
      <c r="I33" s="215"/>
      <c r="J33" s="215"/>
      <c r="K33" s="219">
        <v>45548</v>
      </c>
      <c r="L33" s="225">
        <v>45582</v>
      </c>
      <c r="M33" s="244">
        <v>45615</v>
      </c>
      <c r="N33" s="225">
        <v>45644</v>
      </c>
      <c r="O33" s="225">
        <v>45678</v>
      </c>
      <c r="P33" s="219" t="s">
        <v>469</v>
      </c>
    </row>
    <row r="34" spans="1:16" ht="30" customHeight="1" x14ac:dyDescent="0.3">
      <c r="A34" s="197" t="s">
        <v>449</v>
      </c>
      <c r="B34" s="192">
        <v>3030</v>
      </c>
      <c r="C34" s="260" t="s">
        <v>4</v>
      </c>
      <c r="D34" s="192" t="s">
        <v>407</v>
      </c>
      <c r="E34" s="252" t="s">
        <v>381</v>
      </c>
      <c r="F34" s="269">
        <v>18</v>
      </c>
      <c r="G34" s="197">
        <v>4</v>
      </c>
      <c r="H34" s="216"/>
      <c r="I34" s="216"/>
      <c r="J34" s="216"/>
      <c r="K34" s="220">
        <v>45551</v>
      </c>
      <c r="L34" s="236" t="s">
        <v>376</v>
      </c>
      <c r="M34" s="245">
        <v>45617</v>
      </c>
      <c r="N34" s="236">
        <v>45645</v>
      </c>
      <c r="O34" s="236">
        <v>45679</v>
      </c>
      <c r="P34" s="219" t="s">
        <v>470</v>
      </c>
    </row>
    <row r="35" spans="1:16" ht="30.6" customHeight="1" x14ac:dyDescent="0.3">
      <c r="A35" s="197" t="s">
        <v>271</v>
      </c>
      <c r="B35" s="192" t="s">
        <v>390</v>
      </c>
      <c r="C35" s="260" t="s">
        <v>400</v>
      </c>
      <c r="D35" s="192" t="s">
        <v>371</v>
      </c>
      <c r="E35" s="254" t="s">
        <v>381</v>
      </c>
      <c r="F35" s="268"/>
      <c r="G35" s="197">
        <v>4</v>
      </c>
      <c r="H35" s="216"/>
      <c r="I35" s="216"/>
      <c r="J35" s="216"/>
      <c r="K35" s="220">
        <v>45551</v>
      </c>
      <c r="L35" s="236">
        <v>45586</v>
      </c>
      <c r="M35" s="245">
        <v>45616</v>
      </c>
      <c r="N35" s="236">
        <v>45645</v>
      </c>
      <c r="O35" s="236">
        <v>45679</v>
      </c>
      <c r="P35" s="219" t="s">
        <v>470</v>
      </c>
    </row>
    <row r="36" spans="1:16" ht="15" customHeight="1" x14ac:dyDescent="0.3">
      <c r="A36" s="43" t="s">
        <v>448</v>
      </c>
      <c r="B36" s="191" t="s">
        <v>401</v>
      </c>
      <c r="C36" s="224" t="s">
        <v>433</v>
      </c>
      <c r="D36" s="191" t="s">
        <v>372</v>
      </c>
      <c r="E36" s="191" t="s">
        <v>381</v>
      </c>
      <c r="F36" s="43">
        <v>19</v>
      </c>
      <c r="G36" s="43">
        <v>8</v>
      </c>
      <c r="H36" s="215"/>
      <c r="I36" s="215"/>
      <c r="J36" s="215"/>
      <c r="K36" s="219" t="s">
        <v>375</v>
      </c>
      <c r="L36" s="225">
        <v>45587</v>
      </c>
      <c r="M36" s="244">
        <v>45618</v>
      </c>
      <c r="N36" s="225">
        <v>45649</v>
      </c>
      <c r="O36" s="225">
        <v>24</v>
      </c>
      <c r="P36" s="219" t="s">
        <v>471</v>
      </c>
    </row>
    <row r="37" spans="1:16" ht="15" customHeight="1" x14ac:dyDescent="0.3">
      <c r="A37" s="339" t="s">
        <v>473</v>
      </c>
      <c r="B37" s="339" t="s">
        <v>473</v>
      </c>
      <c r="C37" s="339" t="s">
        <v>473</v>
      </c>
      <c r="D37" s="340" t="s">
        <v>474</v>
      </c>
      <c r="E37" s="191" t="s">
        <v>381</v>
      </c>
      <c r="F37" s="339"/>
      <c r="G37" s="339"/>
      <c r="H37" s="341"/>
      <c r="I37" s="341"/>
      <c r="J37" s="341"/>
      <c r="K37" s="341"/>
      <c r="L37" s="341"/>
      <c r="M37" s="342"/>
      <c r="N37" s="341"/>
      <c r="O37" s="341"/>
      <c r="P37" s="219" t="s">
        <v>472</v>
      </c>
    </row>
    <row r="38" spans="1:16" ht="15" customHeight="1" x14ac:dyDescent="0.3"/>
    <row r="39" spans="1:16" ht="15" customHeight="1" x14ac:dyDescent="0.3"/>
    <row r="40" spans="1:16" ht="15" customHeight="1" x14ac:dyDescent="0.3"/>
    <row r="41" spans="1:16" ht="15" customHeight="1" x14ac:dyDescent="0.3"/>
    <row r="42" spans="1:16" ht="15" customHeight="1" x14ac:dyDescent="0.3"/>
    <row r="43" spans="1:16" ht="15" customHeight="1" x14ac:dyDescent="0.3"/>
    <row r="44" spans="1:16" ht="15" customHeight="1" x14ac:dyDescent="0.3"/>
    <row r="45" spans="1:16" ht="15" customHeight="1" x14ac:dyDescent="0.3"/>
    <row r="46" spans="1:16" ht="15" customHeight="1" x14ac:dyDescent="0.3"/>
    <row r="47" spans="1:16" ht="15" customHeight="1" x14ac:dyDescent="0.3"/>
    <row r="48" spans="1:16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autoFilter ref="C2:K21" xr:uid="{652AD01A-8ACA-4E6F-96B2-E559E0FE88BB}"/>
  <mergeCells count="14">
    <mergeCell ref="F34:F35"/>
    <mergeCell ref="F12:F13"/>
    <mergeCell ref="F14:F16"/>
    <mergeCell ref="F18:F19"/>
    <mergeCell ref="F20:F21"/>
    <mergeCell ref="F22:F23"/>
    <mergeCell ref="F28:F30"/>
    <mergeCell ref="C31:C32"/>
    <mergeCell ref="F3:F4"/>
    <mergeCell ref="F5:F6"/>
    <mergeCell ref="F8:F9"/>
    <mergeCell ref="F10:F11"/>
    <mergeCell ref="F24:F25"/>
    <mergeCell ref="F31:F32"/>
  </mergeCells>
  <phoneticPr fontId="7" type="noConversion"/>
  <pageMargins left="0.7" right="0.7" top="0.75" bottom="0.75" header="0.3" footer="0.3"/>
  <pageSetup paperSize="9" scale="97" fitToHeight="0" orientation="landscape" r:id="rId1"/>
  <headerFooter>
    <oddHeader>&amp;R&amp;"Calibri"&amp;10&amp;K000000 Documento: YPF-Público&amp;1#_x000D_</oddHeader>
    <oddFooter>&amp;R_x000D_&amp;1#&amp;"Calibri"&amp;10&amp;K000000 Documento: YPF-Público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Programa TIPCI</vt:lpstr>
      <vt:lpstr>G1 CRISTIAN JUNIO</vt:lpstr>
      <vt:lpstr>G2 GUILLE JUNIO</vt:lpstr>
      <vt:lpstr>Sector A</vt:lpstr>
      <vt:lpstr>Sector B</vt:lpstr>
      <vt:lpstr>'Sector A'!Área_de_impresión</vt:lpstr>
    </vt:vector>
  </TitlesOfParts>
  <Manager/>
  <Company>YPF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CHAPASIAN, CARLOS GUSTAVO</dc:creator>
  <cp:keywords/>
  <dc:description/>
  <cp:lastModifiedBy>Nicolas Conti</cp:lastModifiedBy>
  <cp:revision/>
  <cp:lastPrinted>2025-02-06T12:21:21Z</cp:lastPrinted>
  <dcterms:created xsi:type="dcterms:W3CDTF">2022-01-07T12:53:56Z</dcterms:created>
  <dcterms:modified xsi:type="dcterms:W3CDTF">2026-06-25T18:11:31Z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1c5ec-e5b5-40ab-b632-dbf2eb8611fa_Enabled">
    <vt:lpwstr>true</vt:lpwstr>
  </property>
  <property fmtid="{D5CDD505-2E9C-101B-9397-08002B2CF9AE}" pid="3" name="MSIP_Label_b701c5ec-e5b5-40ab-b632-dbf2eb8611fa_SetDate">
    <vt:lpwstr>2022-12-28T17:15:33Z</vt:lpwstr>
  </property>
  <property fmtid="{D5CDD505-2E9C-101B-9397-08002B2CF9AE}" pid="4" name="MSIP_Label_b701c5ec-e5b5-40ab-b632-dbf2eb8611fa_Method">
    <vt:lpwstr>Privileged</vt:lpwstr>
  </property>
  <property fmtid="{D5CDD505-2E9C-101B-9397-08002B2CF9AE}" pid="5" name="MSIP_Label_b701c5ec-e5b5-40ab-b632-dbf2eb8611fa_Name">
    <vt:lpwstr>YPF - Privado</vt:lpwstr>
  </property>
  <property fmtid="{D5CDD505-2E9C-101B-9397-08002B2CF9AE}" pid="6" name="MSIP_Label_b701c5ec-e5b5-40ab-b632-dbf2eb8611fa_SiteId">
    <vt:lpwstr>038018c3-616c-4b46-ad9b-aa9007f701b5</vt:lpwstr>
  </property>
  <property fmtid="{D5CDD505-2E9C-101B-9397-08002B2CF9AE}" pid="7" name="MSIP_Label_b701c5ec-e5b5-40ab-b632-dbf2eb8611fa_ActionId">
    <vt:lpwstr>6c414ed1-5a33-442c-98ea-ddc32163a036</vt:lpwstr>
  </property>
  <property fmtid="{D5CDD505-2E9C-101B-9397-08002B2CF9AE}" pid="8" name="MSIP_Label_b701c5ec-e5b5-40ab-b632-dbf2eb8611fa_ContentBits">
    <vt:lpwstr>3</vt:lpwstr>
  </property>
</Properties>
</file>